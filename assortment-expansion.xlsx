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PaulKirchner\Downloads\"/>
    </mc:Choice>
  </mc:AlternateContent>
  <xr:revisionPtr revIDLastSave="0" documentId="13_ncr:1_{33A240F2-0358-4776-B715-235F0733E0CF}" xr6:coauthVersionLast="47" xr6:coauthVersionMax="47" xr10:uidLastSave="{00000000-0000-0000-0000-000000000000}"/>
  <bookViews>
    <workbookView xWindow="-98" yWindow="-98" windowWidth="21795" windowHeight="12975" xr2:uid="{00000000-000D-0000-FFFF-FFFF00000000}"/>
  </bookViews>
  <sheets>
    <sheet name="Assortment Expansion" sheetId="1" r:id="rId1"/>
  </sheets>
  <externalReferences>
    <externalReference r:id="rId2"/>
  </externalReferences>
  <definedNames>
    <definedName name="_xlnm._FilterDatabase" localSheetId="0" hidden="1">'Assortment Expansion'!$A$4:$K$177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75" i="1" l="1"/>
  <c r="B176" i="1" s="1"/>
  <c r="B177" i="1" s="1"/>
  <c r="B156" i="1"/>
  <c r="B157" i="1" s="1"/>
  <c r="B158" i="1" s="1"/>
  <c r="B159" i="1" s="1"/>
  <c r="B160" i="1" s="1"/>
  <c r="B161" i="1" s="1"/>
  <c r="B162" i="1" s="1"/>
  <c r="B163" i="1" s="1"/>
  <c r="B164" i="1" s="1"/>
  <c r="B165" i="1" s="1"/>
  <c r="B166" i="1" s="1"/>
  <c r="B167" i="1" s="1"/>
  <c r="B168" i="1" s="1"/>
  <c r="B169" i="1" s="1"/>
  <c r="B170" i="1" s="1"/>
  <c r="B171" i="1" s="1"/>
  <c r="B172" i="1" s="1"/>
  <c r="B173" i="1" s="1"/>
  <c r="B174" i="1" s="1"/>
  <c r="B150" i="1"/>
  <c r="B151" i="1" s="1"/>
  <c r="B152" i="1" s="1"/>
  <c r="B153" i="1" s="1"/>
  <c r="B154" i="1" s="1"/>
  <c r="B155" i="1" s="1"/>
  <c r="B144" i="1"/>
  <c r="B145" i="1" s="1"/>
  <c r="B146" i="1" s="1"/>
  <c r="B147" i="1" s="1"/>
  <c r="B148" i="1" s="1"/>
  <c r="B149" i="1" s="1"/>
  <c r="B139" i="1"/>
  <c r="B140" i="1" s="1"/>
  <c r="B141" i="1" s="1"/>
  <c r="B142" i="1" s="1"/>
  <c r="B143" i="1" s="1"/>
  <c r="B131" i="1"/>
  <c r="B132" i="1" s="1"/>
  <c r="B133" i="1" s="1"/>
  <c r="B134" i="1" s="1"/>
  <c r="B135" i="1" s="1"/>
  <c r="B136" i="1" s="1"/>
  <c r="B137" i="1" s="1"/>
  <c r="B138" i="1" s="1"/>
  <c r="B126" i="1"/>
  <c r="B127" i="1" s="1"/>
  <c r="B128" i="1" s="1"/>
  <c r="B129" i="1" s="1"/>
  <c r="B130" i="1" s="1"/>
  <c r="B107" i="1"/>
  <c r="B108" i="1" s="1"/>
  <c r="B109" i="1" s="1"/>
  <c r="B110" i="1" s="1"/>
  <c r="B111" i="1" s="1"/>
  <c r="B112" i="1" s="1"/>
  <c r="B113" i="1" s="1"/>
  <c r="B114" i="1" s="1"/>
  <c r="B115" i="1" s="1"/>
  <c r="B116" i="1" s="1"/>
  <c r="B117" i="1" s="1"/>
  <c r="B118" i="1" s="1"/>
  <c r="B119" i="1" s="1"/>
  <c r="B120" i="1" s="1"/>
  <c r="B121" i="1" s="1"/>
  <c r="B122" i="1" s="1"/>
  <c r="B123" i="1" s="1"/>
  <c r="B124" i="1" s="1"/>
  <c r="B125" i="1" s="1"/>
  <c r="B96" i="1"/>
  <c r="B97" i="1" s="1"/>
  <c r="B98" i="1" s="1"/>
  <c r="B99" i="1" s="1"/>
  <c r="B100" i="1" s="1"/>
  <c r="B101" i="1" s="1"/>
  <c r="B102" i="1" s="1"/>
  <c r="B103" i="1" s="1"/>
  <c r="B104" i="1" s="1"/>
  <c r="B105" i="1" s="1"/>
  <c r="B106" i="1" s="1"/>
  <c r="B83" i="1"/>
  <c r="B84" i="1" s="1"/>
  <c r="B85" i="1" s="1"/>
  <c r="B86" i="1" s="1"/>
  <c r="B87" i="1" s="1"/>
  <c r="B88" i="1" s="1"/>
  <c r="B89" i="1" s="1"/>
  <c r="B90" i="1" s="1"/>
  <c r="B91" i="1" s="1"/>
  <c r="B92" i="1" s="1"/>
  <c r="B93" i="1" s="1"/>
  <c r="B94" i="1" s="1"/>
  <c r="B95" i="1" s="1"/>
  <c r="B70" i="1"/>
  <c r="B71" i="1" s="1"/>
  <c r="B72" i="1" s="1"/>
  <c r="B73" i="1" s="1"/>
  <c r="B74" i="1" s="1"/>
  <c r="B75" i="1" s="1"/>
  <c r="B76" i="1" s="1"/>
  <c r="B77" i="1" s="1"/>
  <c r="B78" i="1" s="1"/>
  <c r="B79" i="1" s="1"/>
  <c r="B80" i="1" s="1"/>
  <c r="B81" i="1" s="1"/>
  <c r="B82" i="1" s="1"/>
  <c r="D69" i="1"/>
  <c r="D68" i="1"/>
  <c r="D67" i="1"/>
  <c r="D66" i="1"/>
  <c r="D65" i="1"/>
  <c r="D64" i="1"/>
  <c r="D63" i="1"/>
  <c r="D62" i="1"/>
  <c r="D61" i="1"/>
  <c r="D60" i="1"/>
  <c r="D59" i="1"/>
  <c r="B58" i="1"/>
  <c r="B59" i="1" s="1"/>
  <c r="B60" i="1" s="1"/>
  <c r="B61" i="1" s="1"/>
  <c r="B62" i="1" s="1"/>
  <c r="B63" i="1" s="1"/>
  <c r="B64" i="1" s="1"/>
  <c r="B65" i="1" s="1"/>
  <c r="B66" i="1" s="1"/>
  <c r="B67" i="1" s="1"/>
  <c r="B68" i="1" s="1"/>
  <c r="B69" i="1" s="1"/>
  <c r="B57" i="1"/>
  <c r="B50" i="1"/>
  <c r="B51" i="1" s="1"/>
  <c r="B52" i="1" s="1"/>
  <c r="B53" i="1" s="1"/>
  <c r="B54" i="1" s="1"/>
  <c r="B55" i="1" s="1"/>
  <c r="B56" i="1" s="1"/>
  <c r="F40" i="1"/>
  <c r="D40" i="1"/>
  <c r="F64" i="1"/>
  <c r="F118" i="1"/>
  <c r="D118" i="1"/>
  <c r="F117" i="1"/>
  <c r="D117" i="1"/>
  <c r="F116" i="1"/>
  <c r="D116" i="1"/>
  <c r="F115" i="1"/>
  <c r="D115" i="1"/>
  <c r="B31" i="1"/>
  <c r="B32" i="1" s="1"/>
  <c r="B33" i="1" s="1"/>
  <c r="B34" i="1" s="1"/>
  <c r="B35" i="1" s="1"/>
  <c r="B36" i="1" s="1"/>
  <c r="B37" i="1" s="1"/>
  <c r="B38" i="1" s="1"/>
  <c r="D12" i="1"/>
  <c r="D28" i="1"/>
  <c r="D27" i="1"/>
  <c r="D48" i="1"/>
  <c r="D47" i="1"/>
  <c r="D46" i="1"/>
  <c r="D45" i="1"/>
  <c r="D44" i="1"/>
  <c r="D43" i="1"/>
  <c r="D42" i="1"/>
  <c r="D41" i="1"/>
  <c r="D39" i="1"/>
  <c r="D38" i="1"/>
  <c r="F5" i="1"/>
  <c r="F44" i="1"/>
  <c r="F43" i="1"/>
  <c r="F42" i="1"/>
  <c r="F41" i="1"/>
  <c r="F46" i="1"/>
  <c r="F45" i="1"/>
  <c r="F39" i="1"/>
  <c r="F48" i="1"/>
  <c r="F47" i="1"/>
  <c r="B6" i="1"/>
  <c r="B7" i="1" s="1"/>
  <c r="B8" i="1" s="1"/>
  <c r="B9" i="1" s="1"/>
  <c r="B10" i="1" s="1"/>
  <c r="B11" i="1" s="1"/>
  <c r="B12" i="1" s="1"/>
  <c r="B13" i="1" s="1"/>
  <c r="B14" i="1" s="1"/>
  <c r="B15" i="1" s="1"/>
  <c r="B16" i="1" s="1"/>
  <c r="B17" i="1" s="1"/>
  <c r="B18" i="1" s="1"/>
  <c r="B19" i="1" s="1"/>
  <c r="B20" i="1" s="1"/>
  <c r="B21" i="1" s="1"/>
  <c r="B22" i="1" s="1"/>
  <c r="B23" i="1" s="1"/>
  <c r="B24" i="1" s="1"/>
  <c r="B25" i="1" s="1"/>
  <c r="B26" i="1" s="1"/>
  <c r="B27" i="1" s="1"/>
  <c r="B28" i="1" s="1"/>
  <c r="B29" i="1" s="1"/>
  <c r="B30" i="1" s="1"/>
  <c r="D49" i="1"/>
  <c r="D37" i="1"/>
  <c r="D36" i="1"/>
  <c r="D35" i="1"/>
  <c r="D34" i="1"/>
  <c r="D33" i="1"/>
  <c r="D32" i="1"/>
  <c r="D31" i="1"/>
  <c r="D30" i="1"/>
  <c r="D29" i="1"/>
  <c r="D26" i="1"/>
  <c r="D25" i="1"/>
  <c r="D24" i="1"/>
  <c r="D23" i="1"/>
  <c r="D22" i="1"/>
  <c r="D21" i="1"/>
  <c r="D20" i="1"/>
  <c r="D19" i="1"/>
  <c r="D18" i="1"/>
  <c r="D17" i="1"/>
  <c r="D16" i="1"/>
  <c r="D15" i="1"/>
  <c r="D14" i="1"/>
  <c r="D13" i="1"/>
  <c r="F34" i="1"/>
  <c r="F33" i="1"/>
  <c r="F32" i="1"/>
  <c r="F31" i="1"/>
  <c r="F37" i="1"/>
  <c r="F36" i="1"/>
  <c r="F49" i="1"/>
  <c r="F38" i="1"/>
  <c r="F35" i="1"/>
  <c r="F11" i="1"/>
  <c r="D11" i="1"/>
  <c r="F10" i="1"/>
  <c r="D10" i="1"/>
  <c r="F9" i="1"/>
  <c r="D9" i="1"/>
  <c r="F8" i="1"/>
  <c r="D8" i="1"/>
  <c r="F7" i="1"/>
  <c r="D7" i="1"/>
  <c r="F6" i="1"/>
  <c r="D6" i="1"/>
  <c r="D5" i="1"/>
  <c r="F67" i="1"/>
  <c r="F66" i="1"/>
  <c r="F57" i="1"/>
  <c r="D57" i="1"/>
  <c r="B39" i="1" l="1"/>
  <c r="B41" i="1" s="1"/>
  <c r="B42" i="1" s="1"/>
  <c r="B43" i="1" s="1"/>
  <c r="B44" i="1" s="1"/>
  <c r="B45" i="1" s="1"/>
  <c r="B46" i="1" s="1"/>
  <c r="B47" i="1" s="1"/>
  <c r="B48" i="1" s="1"/>
  <c r="B49" i="1" s="1"/>
  <c r="B40" i="1"/>
  <c r="F50" i="1"/>
  <c r="D50" i="1"/>
  <c r="F177" i="1"/>
  <c r="D177" i="1"/>
  <c r="F176" i="1"/>
  <c r="D176" i="1"/>
  <c r="F175" i="1"/>
  <c r="D175" i="1"/>
  <c r="F174" i="1"/>
  <c r="D174" i="1"/>
  <c r="F173" i="1"/>
  <c r="D173" i="1"/>
  <c r="F172" i="1"/>
  <c r="D172" i="1"/>
  <c r="F171" i="1"/>
  <c r="D171" i="1"/>
  <c r="F170" i="1"/>
  <c r="D170" i="1"/>
  <c r="F169" i="1"/>
  <c r="D169" i="1"/>
  <c r="F168" i="1"/>
  <c r="D168" i="1"/>
  <c r="F167" i="1"/>
  <c r="D167" i="1"/>
  <c r="F166" i="1"/>
  <c r="D166" i="1"/>
  <c r="F165" i="1"/>
  <c r="D165" i="1"/>
  <c r="F164" i="1"/>
  <c r="D164" i="1"/>
  <c r="F163" i="1"/>
  <c r="D163" i="1"/>
  <c r="F162" i="1"/>
  <c r="D162" i="1"/>
  <c r="F161" i="1"/>
  <c r="D161" i="1"/>
  <c r="F160" i="1"/>
  <c r="D160" i="1"/>
  <c r="F159" i="1"/>
  <c r="F158" i="1"/>
  <c r="F157" i="1"/>
  <c r="F156" i="1"/>
  <c r="F155" i="1"/>
  <c r="F154" i="1"/>
  <c r="F153" i="1"/>
  <c r="F152" i="1"/>
  <c r="F151" i="1"/>
  <c r="F150" i="1"/>
  <c r="F149" i="1"/>
  <c r="F148" i="1"/>
  <c r="F147" i="1"/>
  <c r="F146" i="1"/>
  <c r="F145" i="1"/>
  <c r="F144" i="1"/>
  <c r="F143" i="1"/>
  <c r="F142" i="1"/>
  <c r="F141" i="1"/>
  <c r="F140" i="1"/>
  <c r="F139" i="1"/>
  <c r="F138" i="1"/>
  <c r="F137" i="1"/>
  <c r="F136" i="1"/>
  <c r="F135" i="1"/>
  <c r="F134" i="1"/>
  <c r="F133" i="1"/>
  <c r="F132" i="1"/>
  <c r="F131" i="1"/>
  <c r="F130" i="1"/>
  <c r="F129" i="1"/>
  <c r="F128" i="1"/>
  <c r="F127" i="1"/>
  <c r="F126" i="1"/>
  <c r="F125" i="1"/>
  <c r="F124" i="1"/>
  <c r="F123" i="1"/>
  <c r="F122" i="1"/>
  <c r="F121" i="1"/>
  <c r="F120" i="1"/>
  <c r="F107" i="1"/>
  <c r="F119" i="1"/>
  <c r="F114" i="1"/>
  <c r="F113" i="1"/>
  <c r="F112" i="1"/>
  <c r="F111" i="1"/>
  <c r="F110" i="1"/>
  <c r="F109" i="1"/>
  <c r="F108" i="1"/>
  <c r="F106" i="1"/>
  <c r="F105" i="1"/>
  <c r="F104" i="1"/>
  <c r="F103" i="1"/>
  <c r="F102" i="1"/>
  <c r="F101" i="1"/>
  <c r="F100" i="1"/>
  <c r="F99" i="1"/>
  <c r="F98" i="1"/>
  <c r="F97" i="1"/>
  <c r="F96" i="1"/>
  <c r="F95" i="1"/>
  <c r="F94" i="1"/>
  <c r="F93" i="1"/>
  <c r="F92" i="1"/>
  <c r="F91" i="1"/>
  <c r="F90" i="1"/>
  <c r="F89" i="1"/>
  <c r="F88" i="1"/>
  <c r="F87" i="1"/>
  <c r="F86" i="1"/>
  <c r="F83" i="1"/>
  <c r="F85" i="1"/>
  <c r="F84" i="1"/>
  <c r="F82" i="1"/>
  <c r="F81" i="1"/>
  <c r="F80" i="1"/>
  <c r="F79" i="1"/>
  <c r="F78" i="1"/>
  <c r="F77" i="1"/>
  <c r="F76" i="1"/>
  <c r="F75" i="1"/>
  <c r="F74" i="1"/>
  <c r="F73" i="1"/>
  <c r="F72" i="1"/>
  <c r="F71" i="1"/>
  <c r="F70" i="1"/>
  <c r="F69" i="1"/>
  <c r="F68" i="1"/>
  <c r="F65" i="1"/>
  <c r="F63" i="1"/>
  <c r="F62" i="1"/>
  <c r="F61" i="1"/>
  <c r="F60" i="1"/>
  <c r="F59" i="1"/>
  <c r="F58" i="1"/>
  <c r="F56" i="1"/>
  <c r="F55" i="1"/>
  <c r="F54" i="1"/>
  <c r="F53" i="1"/>
  <c r="F52" i="1"/>
  <c r="F51" i="1"/>
  <c r="D90" i="1"/>
  <c r="D88" i="1"/>
  <c r="D87" i="1"/>
  <c r="D128" i="1"/>
  <c r="D91" i="1"/>
  <c r="D122" i="1"/>
  <c r="D144" i="1"/>
  <c r="D108" i="1"/>
  <c r="D106" i="1"/>
  <c r="D55" i="1"/>
  <c r="D51" i="1"/>
  <c r="D52" i="1"/>
  <c r="D96" i="1"/>
  <c r="D159" i="1"/>
  <c r="D158" i="1"/>
  <c r="D157" i="1"/>
  <c r="D156" i="1"/>
  <c r="D155" i="1"/>
  <c r="D154" i="1"/>
  <c r="D153" i="1"/>
  <c r="D152" i="1"/>
  <c r="D151" i="1"/>
  <c r="D150" i="1"/>
  <c r="D149" i="1"/>
  <c r="D148" i="1"/>
  <c r="D147" i="1"/>
  <c r="D146" i="1"/>
  <c r="D145" i="1"/>
  <c r="D143" i="1"/>
  <c r="D142" i="1"/>
  <c r="D141" i="1"/>
  <c r="D140" i="1"/>
  <c r="D139" i="1"/>
  <c r="D138" i="1"/>
  <c r="D137" i="1"/>
  <c r="D136" i="1"/>
  <c r="D135" i="1"/>
  <c r="D134" i="1"/>
  <c r="D133" i="1"/>
  <c r="D132" i="1"/>
  <c r="D131" i="1"/>
  <c r="D130" i="1"/>
  <c r="D129" i="1"/>
  <c r="D127" i="1"/>
  <c r="D126" i="1"/>
  <c r="D125" i="1"/>
  <c r="D124" i="1"/>
  <c r="D123" i="1"/>
  <c r="D121" i="1"/>
  <c r="D120" i="1"/>
  <c r="D107" i="1"/>
  <c r="D119" i="1"/>
  <c r="D114" i="1"/>
  <c r="D113" i="1"/>
  <c r="D112" i="1"/>
  <c r="D111" i="1"/>
  <c r="D110" i="1"/>
  <c r="D109" i="1"/>
  <c r="D105" i="1"/>
  <c r="D104" i="1"/>
  <c r="D103" i="1"/>
  <c r="D102" i="1"/>
  <c r="D101" i="1"/>
  <c r="D100" i="1"/>
  <c r="D99" i="1"/>
  <c r="D98" i="1"/>
  <c r="D97" i="1"/>
  <c r="D95" i="1"/>
  <c r="D94" i="1"/>
  <c r="D93" i="1"/>
  <c r="D92" i="1"/>
  <c r="D89" i="1"/>
  <c r="D86" i="1"/>
  <c r="D83" i="1"/>
  <c r="D85" i="1"/>
  <c r="D84" i="1"/>
  <c r="D82" i="1"/>
  <c r="D81" i="1"/>
  <c r="D80" i="1"/>
  <c r="D79" i="1"/>
  <c r="D78" i="1"/>
  <c r="D77" i="1"/>
  <c r="D76" i="1"/>
  <c r="D75" i="1"/>
  <c r="D74" i="1"/>
  <c r="D73" i="1"/>
  <c r="D72" i="1"/>
  <c r="D71" i="1"/>
  <c r="D70" i="1"/>
  <c r="D58" i="1"/>
  <c r="D56" i="1"/>
  <c r="D54" i="1"/>
  <c r="D53" i="1"/>
</calcChain>
</file>

<file path=xl/sharedStrings.xml><?xml version="1.0" encoding="utf-8"?>
<sst xmlns="http://schemas.openxmlformats.org/spreadsheetml/2006/main" count="354" uniqueCount="82">
  <si>
    <t>Assortment Expansion</t>
  </si>
  <si>
    <t>Maintain this table in the repo. The Python script reads parent_sku, child_sku, child_qty_per_parent, and fallback_unit_price from this sheet.</t>
  </si>
  <si>
    <t>parent_sku</t>
  </si>
  <si>
    <t>line_number</t>
  </si>
  <si>
    <t>child_sku</t>
  </si>
  <si>
    <t>child_qty_per_parent</t>
  </si>
  <si>
    <t>fallback_unit_price</t>
  </si>
  <si>
    <t>00-LL-00-0014</t>
  </si>
  <si>
    <t>LL-20-3227</t>
  </si>
  <si>
    <t>LL-20-3228</t>
  </si>
  <si>
    <t>LL-20-3229</t>
  </si>
  <si>
    <t>LL-20-3230</t>
  </si>
  <si>
    <t>LL-20-3231</t>
  </si>
  <si>
    <t>LL-20-3232</t>
  </si>
  <si>
    <t>LL-Mini-RO</t>
  </si>
  <si>
    <t>00-LL-00-0015</t>
  </si>
  <si>
    <t>LL-16-3149</t>
  </si>
  <si>
    <t>LL-16-3150</t>
  </si>
  <si>
    <t>LL-16-3203</t>
  </si>
  <si>
    <t>LL-16-3222</t>
  </si>
  <si>
    <t>LL-16-3243</t>
  </si>
  <si>
    <t>LL-16-3248</t>
  </si>
  <si>
    <t>LL-16-3157</t>
  </si>
  <si>
    <t>LL-16-3247</t>
  </si>
  <si>
    <t>LL-16-3158</t>
  </si>
  <si>
    <t>LL-16-3245</t>
  </si>
  <si>
    <t>LL-16-3162</t>
  </si>
  <si>
    <t>LL-16-3244</t>
  </si>
  <si>
    <t>00-LL-00-0016</t>
  </si>
  <si>
    <t>LL-16-3148</t>
  </si>
  <si>
    <t>LL-16-3153</t>
  </si>
  <si>
    <t>LL-16-3200</t>
  </si>
  <si>
    <t>LL-99-3087</t>
  </si>
  <si>
    <t>00-LL-00-0018</t>
  </si>
  <si>
    <t>LL-00-0004</t>
  </si>
  <si>
    <t>00-LL-00-0017</t>
  </si>
  <si>
    <t>11-2501</t>
  </si>
  <si>
    <t>11-2502</t>
  </si>
  <si>
    <t>LL-12-3066-CP12</t>
  </si>
  <si>
    <t>LL-12-3102</t>
  </si>
  <si>
    <t>11-2507</t>
  </si>
  <si>
    <t>LL-12-3121</t>
  </si>
  <si>
    <t>LL-11-2508-CP12</t>
  </si>
  <si>
    <t>LL-12-3123</t>
  </si>
  <si>
    <t>LL-12-3109</t>
  </si>
  <si>
    <t>LL-12-3018</t>
  </si>
  <si>
    <t>11-2504</t>
  </si>
  <si>
    <t>LL-12-3124</t>
  </si>
  <si>
    <t>00-LL-TWR-FA160</t>
  </si>
  <si>
    <t>LL-16-3225</t>
  </si>
  <si>
    <t>LL-16-3154</t>
  </si>
  <si>
    <t>LL-16-3202</t>
  </si>
  <si>
    <t>LL-16-3249</t>
  </si>
  <si>
    <t>00-LL-RO-FA48</t>
  </si>
  <si>
    <t>LL-DISP-FA-SP26</t>
  </si>
  <si>
    <t>LL-DISP-FA-FA26</t>
  </si>
  <si>
    <t>LL-DISP-FA-WN26</t>
  </si>
  <si>
    <t>LL-DISP-WR2</t>
  </si>
  <si>
    <t>child_sku_desc</t>
  </si>
  <si>
    <t>LL-16-3290</t>
  </si>
  <si>
    <t>LL-16-3366</t>
  </si>
  <si>
    <t>LL-16-3367</t>
  </si>
  <si>
    <t>Wilcor PDQ Reg FlowArt</t>
  </si>
  <si>
    <t>LL-12-3213</t>
  </si>
  <si>
    <t>LL-12-3214</t>
  </si>
  <si>
    <t>11-2509-CP12</t>
  </si>
  <si>
    <t>99-9504</t>
  </si>
  <si>
    <t>LL-16-3299</t>
  </si>
  <si>
    <t>LL-16-3300</t>
  </si>
  <si>
    <t>LL-16-3224</t>
  </si>
  <si>
    <t>165005</t>
  </si>
  <si>
    <t>165012</t>
  </si>
  <si>
    <t>NEEDTOCOMEUPWITHONE</t>
  </si>
  <si>
    <t>LL-99-0014</t>
  </si>
  <si>
    <t>99-9502</t>
  </si>
  <si>
    <t>00-LL-00-0012</t>
  </si>
  <si>
    <t>00-LL-00-0013</t>
  </si>
  <si>
    <t>LL-00-0015</t>
  </si>
  <si>
    <t>LL-16-3323</t>
  </si>
  <si>
    <t>LL-16-3223</t>
  </si>
  <si>
    <t>LL-16-3368</t>
  </si>
  <si>
    <t>LL-16-3246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</si>
</sst>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name val="Carlito"/>
    </font>
    <font>
      <sz val="11"/>
      <color theme="0"/>
      <name val="Carlito"/>
    </font>
    <font>
      <sz val="11"/>
      <color rgb="FFFF0000"/>
      <name val="Carlito"/>
    </font>
  </fonts>
  <fills count="4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0" xfId="0" applyAlignment="1">
      <alignment horizontal="left"/>
    </xf>
    <xf numFmtId="4" fontId="0" fillId="0" borderId="0" xfId="0" applyNumberFormat="1"/>
    <xf numFmtId="0" fontId="1" fillId="2" borderId="0" xfId="0" applyFont="1" applyFill="1"/>
    <xf numFmtId="4" fontId="1" fillId="2" borderId="0" xfId="0" applyNumberFormat="1" applyFont="1" applyFill="1"/>
    <xf numFmtId="4" fontId="2" fillId="3" borderId="0" xfId="0" applyNumberFormat="1" applyFont="1" applyFill="1"/>
    <xf numFmtId="0" fontId="0" fillId="0" borderId="0" xfId="0"/>
    <xf numFmtId="11" fontId="0" fillId="0" borderId="0" xfId="0" applyNumberFormat="1"/>
    <xf numFmtId="4" fontId="0" fillId="0" borderId="0" xfId="0" applyNumberFormat="1" applyFont="1" applyFill="1"/>
  </cellXfs>
  <cellStyles count="1">
    <cellStyle name="Normal" xfId="0" builtinId="0"/>
  </cellStyles>
  <dxfs count="17">
    <dxf>
      <border>
        <top/>
        <bottom style="thin">
          <color auto="1"/>
        </bottom>
        <vertical/>
        <horizontal/>
      </border>
    </dxf>
    <dxf>
      <border>
        <top/>
        <bottom style="thin">
          <color auto="1"/>
        </bottom>
        <vertical/>
        <horizontal/>
      </border>
    </dxf>
    <dxf>
      <border>
        <top/>
        <bottom style="thin">
          <color auto="1"/>
        </bottom>
        <vertical/>
        <horizontal/>
      </border>
    </dxf>
    <dxf>
      <border>
        <top/>
        <bottom style="thin">
          <color auto="1"/>
        </bottom>
        <vertical/>
        <horizontal/>
      </border>
    </dxf>
    <dxf>
      <border>
        <top/>
        <bottom style="thin">
          <color auto="1"/>
        </bottom>
        <vertical/>
        <horizontal/>
      </border>
    </dxf>
    <dxf>
      <border>
        <top/>
        <bottom style="thin">
          <color auto="1"/>
        </bottom>
        <vertical/>
        <horizontal/>
      </border>
    </dxf>
    <dxf>
      <border>
        <top/>
        <bottom style="thin">
          <color auto="1"/>
        </bottom>
        <vertical/>
        <horizontal/>
      </border>
    </dxf>
    <dxf>
      <border>
        <top/>
        <bottom style="thin">
          <color auto="1"/>
        </bottom>
        <vertical/>
        <horizontal/>
      </border>
    </dxf>
    <dxf>
      <border>
        <top/>
        <bottom style="thin">
          <color auto="1"/>
        </bottom>
        <vertical/>
        <horizontal/>
      </border>
    </dxf>
    <dxf>
      <border>
        <top/>
        <bottom style="thin">
          <color auto="1"/>
        </bottom>
        <vertical/>
        <horizontal/>
      </border>
    </dxf>
    <dxf>
      <border>
        <top/>
        <bottom style="thin">
          <color auto="1"/>
        </bottom>
        <vertical/>
        <horizontal/>
      </border>
    </dxf>
    <dxf>
      <border>
        <top/>
        <bottom style="thin">
          <color auto="1"/>
        </bottom>
        <vertical/>
        <horizontal/>
      </border>
    </dxf>
    <dxf>
      <border>
        <top/>
        <bottom style="thin">
          <color auto="1"/>
        </bottom>
        <vertical/>
        <horizontal/>
      </border>
    </dxf>
    <dxf>
      <border>
        <top/>
        <bottom style="thin">
          <color auto="1"/>
        </bottom>
        <vertical/>
        <horizontal/>
      </border>
    </dxf>
    <dxf>
      <border>
        <top/>
        <bottom style="thin">
          <color auto="1"/>
        </bottom>
        <vertical/>
        <horizontal/>
      </border>
    </dxf>
    <dxf>
      <border>
        <top/>
        <bottom style="thin">
          <color auto="1"/>
        </bottom>
        <vertical/>
        <horizontal/>
      </border>
    </dxf>
    <dxf>
      <border>
        <top/>
        <bottom style="thin">
          <color auto="1"/>
        </bottom>
        <vertical/>
        <horizontal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toy.sharepoint.com/sites/Operations/Shared%20Documents/Planning/3)%20Planning%20BOM/Master%20BOM.xlsx" TargetMode="External"/><Relationship Id="rId1" Type="http://schemas.openxmlformats.org/officeDocument/2006/relationships/externalLinkPath" Target="https://toy.sharepoint.com/sites/Operations/Shared%20Documents/Planning/3)%20Planning%20BOM/Master%20BOM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 driveId="b!HTnOnJwPMEWf4Qc1OT0tJzUXtA3JA_dFmeLcrifvRQA3dGqF56dSRIF8RuQ19ZxM" itemId="01FHB6EQ4WFPYOBAHH6NC22UE5IJXHENMZ">
      <xxl21:absoluteUrl r:id="rId2"/>
    </xxl21:alternateUrls>
    <sheetNames>
      <sheetName val="Sheet1"/>
      <sheetName val="Admin"/>
      <sheetName val="BOM ---&gt;"/>
      <sheetName val="SBOM"/>
      <sheetName val="LL SKU CREATION"/>
      <sheetName val="LL SKU"/>
      <sheetName val="UPC List"/>
      <sheetName val="ASSORTMENT CREATION"/>
      <sheetName val="FINAL BOM"/>
      <sheetName val="NEW COMPONENT"/>
      <sheetName val="Shopify Template"/>
      <sheetName val="Shopify Template (DTC)"/>
      <sheetName val="MASTER COMP #"/>
      <sheetName val="ENGINEERING BOM"/>
      <sheetName val="LL PN"/>
      <sheetName val="dropdown"/>
      <sheetName val="UPC Export"/>
    </sheetNames>
    <sheetDataSet>
      <sheetData sheetId="0"/>
      <sheetData sheetId="1"/>
      <sheetData sheetId="2"/>
      <sheetData sheetId="3">
        <row r="1">
          <cell r="F1" t="str">
            <v>SBOM SKU</v>
          </cell>
          <cell r="G1" t="str">
            <v>SBOM SKU Desc</v>
          </cell>
          <cell r="H1" t="str">
            <v>BOM Created (Y/N)</v>
          </cell>
          <cell r="I1" t="str">
            <v>Barcode</v>
          </cell>
          <cell r="J1" t="str">
            <v>UPC</v>
          </cell>
          <cell r="K1" t="str">
            <v>GTIN Outer/Master  (14 digit)</v>
          </cell>
          <cell r="L1" t="str">
            <v>GTIN Inner (14 digit)</v>
          </cell>
          <cell r="M1" t="str">
            <v>Inner CP</v>
          </cell>
          <cell r="N1" t="str">
            <v>Outer CP</v>
          </cell>
          <cell r="O1" t="str">
            <v>MSRP</v>
          </cell>
          <cell r="P1" t="str">
            <v>Price</v>
          </cell>
        </row>
        <row r="2">
          <cell r="F2" t="str">
            <v>11-2101</v>
          </cell>
          <cell r="G2" t="str">
            <v>Everyday Diffuser Set - 2-pack plus Essential Oil Blend</v>
          </cell>
          <cell r="H2" t="str">
            <v>Y</v>
          </cell>
          <cell r="I2" t="str">
            <v>030</v>
          </cell>
          <cell r="J2">
            <v>810076210308</v>
          </cell>
          <cell r="K2">
            <v>50810076210303</v>
          </cell>
          <cell r="L2">
            <v>30810076210309</v>
          </cell>
          <cell r="M2">
            <v>4</v>
          </cell>
          <cell r="N2">
            <v>24</v>
          </cell>
          <cell r="O2">
            <v>12.99</v>
          </cell>
          <cell r="P2">
            <v>6.4950000000000001</v>
          </cell>
        </row>
        <row r="3">
          <cell r="F3" t="str">
            <v>11-2101-X2</v>
          </cell>
          <cell r="G3" t="str">
            <v>EDPD 2PCK BUNDLE</v>
          </cell>
          <cell r="H3" t="str">
            <v>N</v>
          </cell>
          <cell r="I3" t="str">
            <v>372</v>
          </cell>
          <cell r="J3">
            <v>810076213729</v>
          </cell>
          <cell r="K3">
            <v>50810076213724</v>
          </cell>
          <cell r="L3">
            <v>30810076213720</v>
          </cell>
          <cell r="M3"/>
          <cell r="N3"/>
          <cell r="O3">
            <v>25.98</v>
          </cell>
          <cell r="P3">
            <v>12.99</v>
          </cell>
        </row>
        <row r="4">
          <cell r="F4" t="str">
            <v>11-2201</v>
          </cell>
          <cell r="G4" t="str">
            <v>Bath Diffuser Set</v>
          </cell>
          <cell r="H4" t="str">
            <v>Y</v>
          </cell>
          <cell r="I4" t="str">
            <v>029</v>
          </cell>
          <cell r="J4">
            <v>810076210292</v>
          </cell>
          <cell r="K4">
            <v>50810076210297</v>
          </cell>
          <cell r="L4">
            <v>30810076210293</v>
          </cell>
          <cell r="M4"/>
          <cell r="N4"/>
          <cell r="O4">
            <v>19.989999999999998</v>
          </cell>
          <cell r="P4">
            <v>9.9949999999999992</v>
          </cell>
        </row>
        <row r="5">
          <cell r="F5" t="str">
            <v>11-0111</v>
          </cell>
          <cell r="G5" t="str">
            <v>Essential Oil Blend - In Bloom: Calm</v>
          </cell>
          <cell r="H5" t="str">
            <v>Y</v>
          </cell>
          <cell r="I5" t="str">
            <v>001</v>
          </cell>
          <cell r="J5">
            <v>810076210018</v>
          </cell>
          <cell r="K5" t="str">
            <v>50810076210010</v>
          </cell>
          <cell r="L5" t="str">
            <v>30810076210019</v>
          </cell>
          <cell r="M5">
            <v>6</v>
          </cell>
          <cell r="N5">
            <v>72</v>
          </cell>
          <cell r="O5">
            <v>5.99</v>
          </cell>
          <cell r="P5">
            <v>2.9950000000000001</v>
          </cell>
        </row>
        <row r="6">
          <cell r="F6" t="str">
            <v>11-0112</v>
          </cell>
          <cell r="G6" t="str">
            <v>Essential Oil Blend - In Bloom: Energy</v>
          </cell>
          <cell r="H6" t="str">
            <v>Y</v>
          </cell>
          <cell r="I6" t="str">
            <v>000</v>
          </cell>
          <cell r="J6">
            <v>810076210001</v>
          </cell>
          <cell r="K6">
            <v>50810076210003</v>
          </cell>
          <cell r="L6">
            <v>30810076210002</v>
          </cell>
          <cell r="M6">
            <v>6</v>
          </cell>
          <cell r="N6">
            <v>72</v>
          </cell>
          <cell r="O6">
            <v>5.99</v>
          </cell>
          <cell r="P6">
            <v>2.9950000000000001</v>
          </cell>
        </row>
        <row r="7">
          <cell r="F7" t="str">
            <v>11-0113</v>
          </cell>
          <cell r="G7" t="str">
            <v>Essential Oil Blend - In Bloom: Joy</v>
          </cell>
          <cell r="H7" t="str">
            <v>Y</v>
          </cell>
          <cell r="I7" t="str">
            <v>002</v>
          </cell>
          <cell r="J7">
            <v>810076210025</v>
          </cell>
          <cell r="K7">
            <v>50810076210020</v>
          </cell>
          <cell r="L7">
            <v>30810076210026</v>
          </cell>
          <cell r="M7">
            <v>6</v>
          </cell>
          <cell r="N7">
            <v>72</v>
          </cell>
          <cell r="O7">
            <v>5.99</v>
          </cell>
          <cell r="P7">
            <v>2.9950000000000001</v>
          </cell>
        </row>
        <row r="8">
          <cell r="F8" t="str">
            <v>11-0114</v>
          </cell>
          <cell r="G8" t="str">
            <v>Essential Oil Blend - In Bloom: Focus</v>
          </cell>
          <cell r="H8" t="str">
            <v>Y</v>
          </cell>
          <cell r="I8" t="str">
            <v>003</v>
          </cell>
          <cell r="J8">
            <v>810076210032</v>
          </cell>
          <cell r="K8">
            <v>50810076210037</v>
          </cell>
          <cell r="L8">
            <v>30810076210033</v>
          </cell>
          <cell r="M8">
            <v>6</v>
          </cell>
          <cell r="N8">
            <v>72</v>
          </cell>
          <cell r="O8">
            <v>5.99</v>
          </cell>
          <cell r="P8">
            <v>2.9950000000000001</v>
          </cell>
        </row>
        <row r="9">
          <cell r="F9" t="str">
            <v>11-0121</v>
          </cell>
          <cell r="G9" t="str">
            <v>Essential Oil Blend - Citrus Grove: Calm</v>
          </cell>
          <cell r="H9" t="str">
            <v>Y</v>
          </cell>
          <cell r="I9" t="str">
            <v>004</v>
          </cell>
          <cell r="J9">
            <v>810076210049</v>
          </cell>
          <cell r="K9">
            <v>50810076210041</v>
          </cell>
          <cell r="L9">
            <v>30810076210040</v>
          </cell>
          <cell r="M9">
            <v>6</v>
          </cell>
          <cell r="N9">
            <v>72</v>
          </cell>
          <cell r="O9">
            <v>5.99</v>
          </cell>
          <cell r="P9">
            <v>2.9950000000000001</v>
          </cell>
        </row>
        <row r="10">
          <cell r="F10" t="str">
            <v>11-0122</v>
          </cell>
          <cell r="G10" t="str">
            <v>Essential Oil Blend - Citrus Grove: Energy</v>
          </cell>
          <cell r="H10" t="str">
            <v>Y</v>
          </cell>
          <cell r="I10" t="str">
            <v>005</v>
          </cell>
          <cell r="J10">
            <v>810076210056</v>
          </cell>
          <cell r="K10">
            <v>50810076210058</v>
          </cell>
          <cell r="L10">
            <v>30810076210057</v>
          </cell>
          <cell r="M10">
            <v>6</v>
          </cell>
          <cell r="N10">
            <v>72</v>
          </cell>
          <cell r="O10">
            <v>5.99</v>
          </cell>
          <cell r="P10">
            <v>2.9950000000000001</v>
          </cell>
        </row>
        <row r="11">
          <cell r="F11" t="str">
            <v>11-0123</v>
          </cell>
          <cell r="G11" t="str">
            <v>Essential Oil Blend - Citrus Grove: Joy</v>
          </cell>
          <cell r="H11" t="str">
            <v>Y</v>
          </cell>
          <cell r="I11" t="str">
            <v>006</v>
          </cell>
          <cell r="J11">
            <v>810076210063</v>
          </cell>
          <cell r="K11">
            <v>50810076210068</v>
          </cell>
          <cell r="L11">
            <v>30810076210064</v>
          </cell>
          <cell r="M11">
            <v>6</v>
          </cell>
          <cell r="N11">
            <v>72</v>
          </cell>
          <cell r="O11">
            <v>5.99</v>
          </cell>
          <cell r="P11">
            <v>2.9950000000000001</v>
          </cell>
        </row>
        <row r="12">
          <cell r="F12" t="str">
            <v>11-0124</v>
          </cell>
          <cell r="G12" t="str">
            <v>Essential Oil Blend - Citrus Grove: Focus</v>
          </cell>
          <cell r="H12" t="str">
            <v>Y</v>
          </cell>
          <cell r="I12" t="str">
            <v>007</v>
          </cell>
          <cell r="J12">
            <v>810076210070</v>
          </cell>
          <cell r="K12">
            <v>50810076210075</v>
          </cell>
          <cell r="L12">
            <v>30810076210071</v>
          </cell>
          <cell r="M12">
            <v>6</v>
          </cell>
          <cell r="N12">
            <v>72</v>
          </cell>
          <cell r="O12">
            <v>5.99</v>
          </cell>
          <cell r="P12">
            <v>2.9950000000000001</v>
          </cell>
        </row>
        <row r="13">
          <cell r="F13" t="str">
            <v>11-0131</v>
          </cell>
          <cell r="G13" t="str">
            <v>Essential Oil Blend - Walk in the Woods: Calm</v>
          </cell>
          <cell r="H13" t="str">
            <v>Y</v>
          </cell>
          <cell r="I13" t="str">
            <v>008</v>
          </cell>
          <cell r="J13">
            <v>810076210087</v>
          </cell>
          <cell r="K13">
            <v>50810076210089</v>
          </cell>
          <cell r="L13">
            <v>30810076210088</v>
          </cell>
          <cell r="M13">
            <v>6</v>
          </cell>
          <cell r="N13">
            <v>72</v>
          </cell>
          <cell r="O13">
            <v>5.99</v>
          </cell>
          <cell r="P13">
            <v>2.9950000000000001</v>
          </cell>
        </row>
        <row r="14">
          <cell r="F14" t="str">
            <v>11-0132</v>
          </cell>
          <cell r="G14" t="str">
            <v>Essential Oil Blend - Walk in the Woods: Energy</v>
          </cell>
          <cell r="H14" t="str">
            <v>Y</v>
          </cell>
          <cell r="I14" t="str">
            <v>009</v>
          </cell>
          <cell r="J14">
            <v>810076210094</v>
          </cell>
          <cell r="K14">
            <v>50810076210096</v>
          </cell>
          <cell r="L14">
            <v>30810076210095</v>
          </cell>
          <cell r="M14">
            <v>6</v>
          </cell>
          <cell r="N14">
            <v>72</v>
          </cell>
          <cell r="O14">
            <v>5.99</v>
          </cell>
          <cell r="P14">
            <v>2.9950000000000001</v>
          </cell>
        </row>
        <row r="15">
          <cell r="F15" t="str">
            <v>11-0133</v>
          </cell>
          <cell r="G15" t="str">
            <v>Essential Oil Blend - Walk in the Woods: Joy</v>
          </cell>
          <cell r="H15" t="str">
            <v>Y</v>
          </cell>
          <cell r="I15" t="str">
            <v>010</v>
          </cell>
          <cell r="J15">
            <v>810076210100</v>
          </cell>
          <cell r="K15">
            <v>50810076210105</v>
          </cell>
          <cell r="L15">
            <v>30810076210101</v>
          </cell>
          <cell r="M15">
            <v>6</v>
          </cell>
          <cell r="N15">
            <v>72</v>
          </cell>
          <cell r="O15">
            <v>5.99</v>
          </cell>
          <cell r="P15">
            <v>2.9950000000000001</v>
          </cell>
        </row>
        <row r="16">
          <cell r="F16" t="str">
            <v>11-0134</v>
          </cell>
          <cell r="G16" t="str">
            <v>Essential Oil Blend - Walk in the Woods: Focus</v>
          </cell>
          <cell r="H16" t="str">
            <v>Y</v>
          </cell>
          <cell r="I16" t="str">
            <v>011</v>
          </cell>
          <cell r="J16">
            <v>810076210117</v>
          </cell>
          <cell r="K16">
            <v>50810076210112</v>
          </cell>
          <cell r="L16">
            <v>30810076210118</v>
          </cell>
          <cell r="M16">
            <v>6</v>
          </cell>
          <cell r="N16">
            <v>72</v>
          </cell>
          <cell r="O16">
            <v>5.99</v>
          </cell>
          <cell r="P16">
            <v>2.9950000000000001</v>
          </cell>
        </row>
        <row r="17">
          <cell r="F17" t="str">
            <v>11-0141</v>
          </cell>
          <cell r="G17" t="str">
            <v>Essential Oil Blend - Crisp Mountain Air: Calm</v>
          </cell>
          <cell r="H17" t="str">
            <v>Y</v>
          </cell>
          <cell r="I17" t="str">
            <v>012</v>
          </cell>
          <cell r="J17">
            <v>810076210124</v>
          </cell>
          <cell r="K17">
            <v>50810076210126</v>
          </cell>
          <cell r="L17">
            <v>30810076210125</v>
          </cell>
          <cell r="M17">
            <v>6</v>
          </cell>
          <cell r="N17">
            <v>72</v>
          </cell>
          <cell r="O17">
            <v>5.99</v>
          </cell>
          <cell r="P17">
            <v>2.9950000000000001</v>
          </cell>
        </row>
        <row r="18">
          <cell r="F18" t="str">
            <v>11-0142</v>
          </cell>
          <cell r="G18" t="str">
            <v>Essential Oil Blend - Crisp Mountain Air: Energy</v>
          </cell>
          <cell r="H18" t="str">
            <v>Y</v>
          </cell>
          <cell r="I18" t="str">
            <v>013</v>
          </cell>
          <cell r="J18">
            <v>810076210131</v>
          </cell>
          <cell r="K18">
            <v>50810076210133</v>
          </cell>
          <cell r="L18">
            <v>30810076210132</v>
          </cell>
          <cell r="M18">
            <v>6</v>
          </cell>
          <cell r="N18">
            <v>72</v>
          </cell>
          <cell r="O18">
            <v>5.99</v>
          </cell>
          <cell r="P18">
            <v>2.9950000000000001</v>
          </cell>
        </row>
        <row r="19">
          <cell r="F19" t="str">
            <v>11-0143</v>
          </cell>
          <cell r="G19" t="str">
            <v>Essential Oil Blend - Crisp Mountain Air: Joy</v>
          </cell>
          <cell r="H19" t="str">
            <v>Y</v>
          </cell>
          <cell r="I19" t="str">
            <v>014</v>
          </cell>
          <cell r="J19">
            <v>810076210148</v>
          </cell>
          <cell r="K19">
            <v>50810076210143</v>
          </cell>
          <cell r="L19">
            <v>30810076210149</v>
          </cell>
          <cell r="M19">
            <v>6</v>
          </cell>
          <cell r="N19">
            <v>72</v>
          </cell>
          <cell r="O19">
            <v>5.99</v>
          </cell>
          <cell r="P19">
            <v>2.9950000000000001</v>
          </cell>
        </row>
        <row r="20">
          <cell r="F20" t="str">
            <v>11-0144</v>
          </cell>
          <cell r="G20" t="str">
            <v>Essential Oil Blend - Crisp Mountain Air: Focus</v>
          </cell>
          <cell r="H20" t="str">
            <v>Y</v>
          </cell>
          <cell r="I20" t="str">
            <v>015</v>
          </cell>
          <cell r="J20">
            <v>810076210155</v>
          </cell>
          <cell r="K20">
            <v>50810076210150</v>
          </cell>
          <cell r="L20">
            <v>30810076210156</v>
          </cell>
          <cell r="M20">
            <v>6</v>
          </cell>
          <cell r="N20">
            <v>72</v>
          </cell>
          <cell r="O20">
            <v>5.99</v>
          </cell>
          <cell r="P20">
            <v>2.9950000000000001</v>
          </cell>
        </row>
        <row r="21">
          <cell r="F21" t="str">
            <v>11-0151</v>
          </cell>
          <cell r="G21" t="str">
            <v>Essential Oil Blend - Spice Rush: Calm</v>
          </cell>
          <cell r="H21" t="str">
            <v>Y</v>
          </cell>
          <cell r="I21" t="str">
            <v>023</v>
          </cell>
          <cell r="J21">
            <v>810076210230</v>
          </cell>
          <cell r="K21">
            <v>50810076210235</v>
          </cell>
          <cell r="L21">
            <v>30810076210231</v>
          </cell>
          <cell r="M21">
            <v>6</v>
          </cell>
          <cell r="N21">
            <v>72</v>
          </cell>
          <cell r="O21">
            <v>5.99</v>
          </cell>
          <cell r="P21">
            <v>2.9950000000000001</v>
          </cell>
        </row>
        <row r="22">
          <cell r="F22" t="str">
            <v>11-0152</v>
          </cell>
          <cell r="G22" t="str">
            <v>Essential Oil Blend - Spice Rush: Energy</v>
          </cell>
          <cell r="H22" t="str">
            <v>Y</v>
          </cell>
          <cell r="I22" t="str">
            <v>024</v>
          </cell>
          <cell r="J22">
            <v>810076210247</v>
          </cell>
          <cell r="K22">
            <v>50810076210242</v>
          </cell>
          <cell r="L22">
            <v>30810076210248</v>
          </cell>
          <cell r="M22">
            <v>6</v>
          </cell>
          <cell r="N22">
            <v>72</v>
          </cell>
          <cell r="O22">
            <v>5.99</v>
          </cell>
          <cell r="P22">
            <v>2.9950000000000001</v>
          </cell>
        </row>
        <row r="23">
          <cell r="F23" t="str">
            <v>11-0153</v>
          </cell>
          <cell r="G23" t="str">
            <v>Essential Oil Blend - Spice Rush: Joy</v>
          </cell>
          <cell r="H23" t="str">
            <v>Y</v>
          </cell>
          <cell r="I23" t="str">
            <v>025</v>
          </cell>
          <cell r="J23">
            <v>810076210254</v>
          </cell>
          <cell r="K23">
            <v>50810076210259</v>
          </cell>
          <cell r="L23">
            <v>30810076210255</v>
          </cell>
          <cell r="M23">
            <v>6</v>
          </cell>
          <cell r="N23">
            <v>72</v>
          </cell>
          <cell r="O23">
            <v>5.99</v>
          </cell>
          <cell r="P23">
            <v>2.9950000000000001</v>
          </cell>
        </row>
        <row r="24">
          <cell r="F24" t="str">
            <v>11-0154</v>
          </cell>
          <cell r="G24" t="str">
            <v>Essential Oil Blend - Spice Rush: Focus</v>
          </cell>
          <cell r="H24" t="str">
            <v>Y</v>
          </cell>
          <cell r="I24" t="str">
            <v>026</v>
          </cell>
          <cell r="J24">
            <v>810076210261</v>
          </cell>
          <cell r="K24">
            <v>50810076210266</v>
          </cell>
          <cell r="L24">
            <v>30810076210262</v>
          </cell>
          <cell r="M24">
            <v>6</v>
          </cell>
          <cell r="N24">
            <v>72</v>
          </cell>
          <cell r="O24">
            <v>5.99</v>
          </cell>
          <cell r="P24">
            <v>2.9950000000000001</v>
          </cell>
        </row>
        <row r="25">
          <cell r="F25" t="str">
            <v>11-0161</v>
          </cell>
          <cell r="G25" t="str">
            <v>Essential Oil Blend - Herbal Garden: Calm</v>
          </cell>
          <cell r="H25" t="str">
            <v>Y</v>
          </cell>
          <cell r="I25" t="str">
            <v>126</v>
          </cell>
          <cell r="J25">
            <v>810076211268</v>
          </cell>
          <cell r="K25">
            <v>50810076211260</v>
          </cell>
          <cell r="L25">
            <v>30810076211269</v>
          </cell>
          <cell r="M25">
            <v>6</v>
          </cell>
          <cell r="N25">
            <v>72</v>
          </cell>
          <cell r="O25">
            <v>5.99</v>
          </cell>
          <cell r="P25">
            <v>2.9950000000000001</v>
          </cell>
        </row>
        <row r="26">
          <cell r="F26" t="str">
            <v>11-0162</v>
          </cell>
          <cell r="G26" t="str">
            <v>Essential Oil Blend - Herbal Garden: Energy</v>
          </cell>
          <cell r="H26" t="str">
            <v>Y</v>
          </cell>
          <cell r="I26" t="str">
            <v>127</v>
          </cell>
          <cell r="J26">
            <v>810076211275</v>
          </cell>
          <cell r="K26">
            <v>50810076211277</v>
          </cell>
          <cell r="L26">
            <v>30810076211276</v>
          </cell>
          <cell r="M26">
            <v>6</v>
          </cell>
          <cell r="N26">
            <v>72</v>
          </cell>
          <cell r="O26">
            <v>5.99</v>
          </cell>
          <cell r="P26">
            <v>2.9950000000000001</v>
          </cell>
        </row>
        <row r="27">
          <cell r="F27" t="str">
            <v>11-0164</v>
          </cell>
          <cell r="G27" t="str">
            <v>Essential Oil Blend - Herbal Garden: Focus</v>
          </cell>
          <cell r="H27" t="str">
            <v>Y</v>
          </cell>
          <cell r="I27" t="str">
            <v>128</v>
          </cell>
          <cell r="J27">
            <v>810076211282</v>
          </cell>
          <cell r="K27">
            <v>50810076211287</v>
          </cell>
          <cell r="L27">
            <v>30810076211283</v>
          </cell>
          <cell r="M27">
            <v>6</v>
          </cell>
          <cell r="N27">
            <v>72</v>
          </cell>
          <cell r="O27">
            <v>5.99</v>
          </cell>
          <cell r="P27">
            <v>2.9950000000000001</v>
          </cell>
        </row>
        <row r="28">
          <cell r="F28" t="str">
            <v>11-0111-CP12</v>
          </cell>
          <cell r="G28" t="str">
            <v>Essential Oil Blend - In Bloom: Calm</v>
          </cell>
          <cell r="H28" t="str">
            <v>N</v>
          </cell>
          <cell r="I28" t="str">
            <v/>
          </cell>
          <cell r="K28">
            <v>60810076210010</v>
          </cell>
          <cell r="L28">
            <v>30810076210019</v>
          </cell>
          <cell r="M28">
            <v>6</v>
          </cell>
          <cell r="N28">
            <v>12</v>
          </cell>
          <cell r="O28">
            <v>5.99</v>
          </cell>
          <cell r="P28">
            <v>2.9950000000000001</v>
          </cell>
        </row>
        <row r="29">
          <cell r="F29" t="str">
            <v>11-0112-CP12</v>
          </cell>
          <cell r="G29" t="str">
            <v>Essential Oil Blend - In Bloom: Energy</v>
          </cell>
          <cell r="H29" t="str">
            <v>N</v>
          </cell>
          <cell r="I29" t="str">
            <v/>
          </cell>
          <cell r="K29">
            <v>60810076210003</v>
          </cell>
          <cell r="L29">
            <v>30810076210002</v>
          </cell>
          <cell r="M29">
            <v>6</v>
          </cell>
          <cell r="N29">
            <v>12</v>
          </cell>
          <cell r="O29">
            <v>5.99</v>
          </cell>
          <cell r="P29">
            <v>2.9950000000000001</v>
          </cell>
        </row>
        <row r="30">
          <cell r="F30" t="str">
            <v>11-0121-CP12</v>
          </cell>
          <cell r="G30" t="str">
            <v>Essential Oil Blend - Citrus Grove: Calm</v>
          </cell>
          <cell r="H30" t="str">
            <v>N</v>
          </cell>
          <cell r="I30" t="str">
            <v/>
          </cell>
          <cell r="K30">
            <v>60810076210041</v>
          </cell>
          <cell r="L30">
            <v>30810076210040</v>
          </cell>
          <cell r="M30">
            <v>6</v>
          </cell>
          <cell r="N30">
            <v>12</v>
          </cell>
          <cell r="O30">
            <v>5.99</v>
          </cell>
          <cell r="P30">
            <v>2.9950000000000001</v>
          </cell>
        </row>
        <row r="31">
          <cell r="F31" t="str">
            <v>11-0122-CP12</v>
          </cell>
          <cell r="G31" t="str">
            <v>Essential Oil Blend - Citrus Grove: Energy</v>
          </cell>
          <cell r="H31" t="str">
            <v>N</v>
          </cell>
          <cell r="I31" t="str">
            <v/>
          </cell>
          <cell r="K31">
            <v>60810076210058</v>
          </cell>
          <cell r="L31">
            <v>30810076210057</v>
          </cell>
          <cell r="M31">
            <v>6</v>
          </cell>
          <cell r="N31">
            <v>12</v>
          </cell>
          <cell r="O31">
            <v>5.99</v>
          </cell>
          <cell r="P31">
            <v>2.9950000000000001</v>
          </cell>
        </row>
        <row r="32">
          <cell r="F32" t="str">
            <v>11-0131-CP12</v>
          </cell>
          <cell r="G32" t="str">
            <v>Essential Oil Blend - Walk in the Woods: Calm</v>
          </cell>
          <cell r="H32" t="str">
            <v>N</v>
          </cell>
          <cell r="I32" t="str">
            <v/>
          </cell>
          <cell r="K32">
            <v>60810076210089</v>
          </cell>
          <cell r="L32">
            <v>30810076210088</v>
          </cell>
          <cell r="M32">
            <v>6</v>
          </cell>
          <cell r="N32">
            <v>12</v>
          </cell>
          <cell r="O32">
            <v>5.99</v>
          </cell>
          <cell r="P32">
            <v>2.9950000000000001</v>
          </cell>
        </row>
        <row r="33">
          <cell r="F33" t="str">
            <v>11-0132-CP12</v>
          </cell>
          <cell r="G33" t="str">
            <v>Essential Oil Blend - Walk in the Woods: Energy</v>
          </cell>
          <cell r="H33" t="str">
            <v>N</v>
          </cell>
          <cell r="I33" t="str">
            <v/>
          </cell>
          <cell r="K33">
            <v>60810076210096</v>
          </cell>
          <cell r="L33">
            <v>30810076210095</v>
          </cell>
          <cell r="M33">
            <v>6</v>
          </cell>
          <cell r="N33">
            <v>12</v>
          </cell>
          <cell r="O33">
            <v>5.99</v>
          </cell>
          <cell r="P33">
            <v>2.9950000000000001</v>
          </cell>
        </row>
        <row r="34">
          <cell r="F34" t="str">
            <v>11-0141-CP12</v>
          </cell>
          <cell r="G34" t="str">
            <v>Essential Oil Blend - Crisp Mountain Air: Calm</v>
          </cell>
          <cell r="H34" t="str">
            <v>N</v>
          </cell>
          <cell r="I34" t="str">
            <v/>
          </cell>
          <cell r="K34">
            <v>60810076210126</v>
          </cell>
          <cell r="L34">
            <v>30810076210125</v>
          </cell>
          <cell r="M34">
            <v>6</v>
          </cell>
          <cell r="N34">
            <v>12</v>
          </cell>
          <cell r="O34">
            <v>5.99</v>
          </cell>
          <cell r="P34">
            <v>2.9950000000000001</v>
          </cell>
        </row>
        <row r="35">
          <cell r="F35" t="str">
            <v>11-0142-CP12</v>
          </cell>
          <cell r="G35" t="str">
            <v>Essential Oil Blend - Crisp Mountain Air: Energy</v>
          </cell>
          <cell r="H35" t="str">
            <v>N</v>
          </cell>
          <cell r="I35" t="str">
            <v/>
          </cell>
          <cell r="K35">
            <v>60810076210133</v>
          </cell>
          <cell r="L35">
            <v>30810076210132</v>
          </cell>
          <cell r="M35">
            <v>6</v>
          </cell>
          <cell r="N35">
            <v>12</v>
          </cell>
          <cell r="O35">
            <v>5.99</v>
          </cell>
          <cell r="P35">
            <v>2.9950000000000001</v>
          </cell>
        </row>
        <row r="36">
          <cell r="F36" t="str">
            <v>11-0161-CP12</v>
          </cell>
          <cell r="G36" t="str">
            <v>Essential Oil Blend - Herbal Garden: Calm</v>
          </cell>
          <cell r="H36" t="str">
            <v>N</v>
          </cell>
          <cell r="I36" t="str">
            <v/>
          </cell>
          <cell r="K36">
            <v>60810076211260</v>
          </cell>
          <cell r="L36">
            <v>30810076211269</v>
          </cell>
          <cell r="M36">
            <v>6</v>
          </cell>
          <cell r="N36">
            <v>12</v>
          </cell>
          <cell r="O36">
            <v>5.99</v>
          </cell>
          <cell r="P36">
            <v>2.9950000000000001</v>
          </cell>
        </row>
        <row r="37">
          <cell r="F37" t="str">
            <v>11-0162-CP12</v>
          </cell>
          <cell r="G37" t="str">
            <v>Essential Oil Blend - Herbal Garden: Energy</v>
          </cell>
          <cell r="H37" t="str">
            <v>N</v>
          </cell>
          <cell r="I37" t="str">
            <v/>
          </cell>
          <cell r="K37">
            <v>60810076211277</v>
          </cell>
          <cell r="L37">
            <v>30810076211276</v>
          </cell>
          <cell r="M37">
            <v>6</v>
          </cell>
          <cell r="N37">
            <v>12</v>
          </cell>
          <cell r="O37">
            <v>5.99</v>
          </cell>
          <cell r="P37">
            <v>2.9950000000000001</v>
          </cell>
        </row>
        <row r="38">
          <cell r="F38" t="str">
            <v>11-0246</v>
          </cell>
          <cell r="G38" t="str">
            <v>Essential Oil Blends 4-pack - Herbal Garden</v>
          </cell>
          <cell r="H38" t="str">
            <v>Y</v>
          </cell>
          <cell r="I38" t="str">
            <v>129</v>
          </cell>
          <cell r="J38">
            <v>810076211299</v>
          </cell>
          <cell r="K38">
            <v>50810076211294</v>
          </cell>
          <cell r="L38">
            <v>30810076211290</v>
          </cell>
          <cell r="M38">
            <v>6</v>
          </cell>
          <cell r="N38">
            <v>48</v>
          </cell>
          <cell r="O38">
            <v>19.989999999999998</v>
          </cell>
          <cell r="P38">
            <v>9.9949999999999992</v>
          </cell>
        </row>
        <row r="39">
          <cell r="F39" t="str">
            <v>11-0241</v>
          </cell>
          <cell r="G39" t="str">
            <v>Essential Oil Blends 4-pack - In Bloom</v>
          </cell>
          <cell r="H39" t="str">
            <v>Y</v>
          </cell>
          <cell r="I39" t="str">
            <v>016</v>
          </cell>
          <cell r="J39">
            <v>810076210162</v>
          </cell>
          <cell r="K39">
            <v>50810076210167</v>
          </cell>
          <cell r="L39">
            <v>30810076210163</v>
          </cell>
          <cell r="M39">
            <v>6</v>
          </cell>
          <cell r="N39">
            <v>48</v>
          </cell>
          <cell r="O39">
            <v>19.989999999999998</v>
          </cell>
          <cell r="P39">
            <v>9.9949999999999992</v>
          </cell>
        </row>
        <row r="40">
          <cell r="F40" t="str">
            <v>11-0242</v>
          </cell>
          <cell r="G40" t="str">
            <v>Essential Oil Blends 4-pack - Citrus Grove</v>
          </cell>
          <cell r="H40" t="str">
            <v>Y</v>
          </cell>
          <cell r="I40" t="str">
            <v>017</v>
          </cell>
          <cell r="J40">
            <v>810076210179</v>
          </cell>
          <cell r="K40">
            <v>50810076210174</v>
          </cell>
          <cell r="L40">
            <v>30810076210170</v>
          </cell>
          <cell r="M40">
            <v>6</v>
          </cell>
          <cell r="N40">
            <v>48</v>
          </cell>
          <cell r="O40">
            <v>19.989999999999998</v>
          </cell>
          <cell r="P40">
            <v>9.9949999999999992</v>
          </cell>
        </row>
        <row r="41">
          <cell r="F41" t="str">
            <v>11-0243</v>
          </cell>
          <cell r="G41" t="str">
            <v>Essential Oil Blends 4-pack - Walk In The Woods</v>
          </cell>
          <cell r="H41" t="str">
            <v>Y</v>
          </cell>
          <cell r="I41" t="str">
            <v>018</v>
          </cell>
          <cell r="J41">
            <v>810076210186</v>
          </cell>
          <cell r="K41">
            <v>50810076210181</v>
          </cell>
          <cell r="L41">
            <v>30810076210187</v>
          </cell>
          <cell r="M41">
            <v>6</v>
          </cell>
          <cell r="N41">
            <v>48</v>
          </cell>
          <cell r="O41">
            <v>19.989999999999998</v>
          </cell>
          <cell r="P41">
            <v>9.9949999999999992</v>
          </cell>
        </row>
        <row r="42">
          <cell r="F42" t="str">
            <v>11-0244</v>
          </cell>
          <cell r="G42" t="str">
            <v>Essential Oil Blends 4-pack - Crisp Mountain Air</v>
          </cell>
          <cell r="H42" t="str">
            <v>Y</v>
          </cell>
          <cell r="I42" t="str">
            <v>019</v>
          </cell>
          <cell r="J42">
            <v>810076210193</v>
          </cell>
          <cell r="K42">
            <v>50810076210198</v>
          </cell>
          <cell r="L42">
            <v>30810076210194</v>
          </cell>
          <cell r="M42">
            <v>6</v>
          </cell>
          <cell r="N42">
            <v>48</v>
          </cell>
          <cell r="O42">
            <v>19.989999999999998</v>
          </cell>
          <cell r="P42">
            <v>9.9949999999999992</v>
          </cell>
        </row>
        <row r="43">
          <cell r="F43" t="str">
            <v>11-0245</v>
          </cell>
          <cell r="G43" t="str">
            <v>Essential Oil Blends 4-pack - Spice Rush</v>
          </cell>
          <cell r="H43" t="str">
            <v>Y</v>
          </cell>
          <cell r="I43" t="str">
            <v>022</v>
          </cell>
          <cell r="J43">
            <v>810076210223</v>
          </cell>
          <cell r="K43">
            <v>50810076210228</v>
          </cell>
          <cell r="L43">
            <v>30810076210224</v>
          </cell>
          <cell r="M43">
            <v>6</v>
          </cell>
          <cell r="N43">
            <v>48</v>
          </cell>
          <cell r="O43">
            <v>19.989999999999998</v>
          </cell>
          <cell r="P43">
            <v>9.9949999999999992</v>
          </cell>
        </row>
        <row r="44">
          <cell r="F44" t="str">
            <v>11-0351</v>
          </cell>
          <cell r="G44" t="str">
            <v>Essential Oil Blend Discovery Set - 5-pack</v>
          </cell>
          <cell r="H44" t="str">
            <v>Y</v>
          </cell>
          <cell r="I44" t="str">
            <v>027</v>
          </cell>
          <cell r="J44">
            <v>810076210278</v>
          </cell>
          <cell r="K44">
            <v>50810076210273</v>
          </cell>
          <cell r="L44">
            <v>30810076210279</v>
          </cell>
          <cell r="M44">
            <v>6</v>
          </cell>
          <cell r="N44">
            <v>36</v>
          </cell>
          <cell r="O44">
            <v>19.989999999999998</v>
          </cell>
          <cell r="P44">
            <v>9.9949999999999992</v>
          </cell>
        </row>
        <row r="45">
          <cell r="F45" t="str">
            <v>LL-11-9012</v>
          </cell>
          <cell r="G45" t="str">
            <v>Discovery Set - Be Transported (5 oils) - 3ml</v>
          </cell>
          <cell r="H45" t="str">
            <v>Y</v>
          </cell>
          <cell r="I45" t="str">
            <v>166</v>
          </cell>
          <cell r="J45">
            <v>810076211664</v>
          </cell>
          <cell r="K45">
            <v>50810076211669</v>
          </cell>
          <cell r="L45">
            <v>30810076211665</v>
          </cell>
          <cell r="M45">
            <v>6</v>
          </cell>
          <cell r="N45">
            <v>36</v>
          </cell>
          <cell r="O45">
            <v>19.989999999999998</v>
          </cell>
          <cell r="P45">
            <v>9.9949999999999992</v>
          </cell>
        </row>
        <row r="46">
          <cell r="F46" t="str">
            <v>LL-11-3192</v>
          </cell>
          <cell r="G46" t="str">
            <v>Bright Botanicals Discovery Set - 6-pack</v>
          </cell>
          <cell r="H46" t="str">
            <v>Y</v>
          </cell>
          <cell r="I46" t="str">
            <v>259</v>
          </cell>
          <cell r="J46">
            <v>810076212593</v>
          </cell>
          <cell r="K46">
            <v>50810076212598</v>
          </cell>
          <cell r="L46">
            <v>30810076212594</v>
          </cell>
          <cell r="M46" t="str">
            <v>N/A</v>
          </cell>
          <cell r="N46">
            <v>50</v>
          </cell>
          <cell r="O46">
            <v>19.989999999999998</v>
          </cell>
          <cell r="P46">
            <v>9.9949999999999992</v>
          </cell>
        </row>
        <row r="47">
          <cell r="F47" t="str">
            <v>11-9001</v>
          </cell>
          <cell r="G47" t="str">
            <v>Sensory Immersion™ Gift Set</v>
          </cell>
          <cell r="H47" t="str">
            <v>Y</v>
          </cell>
          <cell r="I47" t="str">
            <v>035</v>
          </cell>
          <cell r="J47">
            <v>810076210353</v>
          </cell>
          <cell r="K47">
            <v>50810076210358</v>
          </cell>
          <cell r="L47">
            <v>30810076210354</v>
          </cell>
          <cell r="M47">
            <v>4</v>
          </cell>
          <cell r="N47">
            <v>32</v>
          </cell>
          <cell r="O47">
            <v>19.989999999999998</v>
          </cell>
          <cell r="P47">
            <v>9.9949999999999992</v>
          </cell>
        </row>
        <row r="48">
          <cell r="F48" t="str">
            <v>11-9002</v>
          </cell>
          <cell r="G48" t="str">
            <v>Sensory Essentials Travel Set</v>
          </cell>
          <cell r="H48" t="str">
            <v>Y</v>
          </cell>
          <cell r="I48" t="str">
            <v>042</v>
          </cell>
          <cell r="J48">
            <v>810076210421</v>
          </cell>
          <cell r="K48">
            <v>50810076210426</v>
          </cell>
          <cell r="L48">
            <v>30810076210422</v>
          </cell>
          <cell r="M48">
            <v>4</v>
          </cell>
          <cell r="N48">
            <v>24</v>
          </cell>
          <cell r="O48">
            <v>29.99</v>
          </cell>
          <cell r="P48">
            <v>14.994999999999999</v>
          </cell>
        </row>
        <row r="49">
          <cell r="F49" t="str">
            <v>11-9003</v>
          </cell>
          <cell r="G49" t="str">
            <v>Essential Oil Kaleidoscope &amp; Everyday Diffuser</v>
          </cell>
          <cell r="H49" t="str">
            <v>Y</v>
          </cell>
          <cell r="I49" t="str">
            <v>044</v>
          </cell>
          <cell r="J49">
            <v>810076210445</v>
          </cell>
          <cell r="K49">
            <v>50810076210440</v>
          </cell>
          <cell r="L49">
            <v>30810076210446</v>
          </cell>
          <cell r="M49"/>
          <cell r="N49">
            <v>6</v>
          </cell>
          <cell r="O49">
            <v>49.99</v>
          </cell>
          <cell r="P49">
            <v>24.995000000000001</v>
          </cell>
        </row>
        <row r="50">
          <cell r="F50" t="str">
            <v>LL-98-3184</v>
          </cell>
          <cell r="G50" t="str">
            <v>Grounding Stone Set - Peppermint &amp; Rosemary</v>
          </cell>
          <cell r="H50" t="str">
            <v>Y</v>
          </cell>
          <cell r="I50" t="str">
            <v>329</v>
          </cell>
          <cell r="J50">
            <v>810076213293</v>
          </cell>
          <cell r="K50">
            <v>50810076213298</v>
          </cell>
          <cell r="L50">
            <v>30810076213294</v>
          </cell>
          <cell r="M50">
            <v>6</v>
          </cell>
          <cell r="N50">
            <v>60</v>
          </cell>
          <cell r="O50">
            <v>9.99</v>
          </cell>
          <cell r="P50">
            <v>4.9950000000000001</v>
          </cell>
        </row>
        <row r="51">
          <cell r="F51" t="str">
            <v>LL-98-3185</v>
          </cell>
          <cell r="G51" t="str">
            <v>Grounding Stone Set - Pine &amp; Patchouli</v>
          </cell>
          <cell r="H51" t="str">
            <v>Y</v>
          </cell>
          <cell r="I51" t="str">
            <v>330</v>
          </cell>
          <cell r="J51">
            <v>810076213309</v>
          </cell>
          <cell r="K51">
            <v>50810076213304</v>
          </cell>
          <cell r="L51">
            <v>30810076213300</v>
          </cell>
          <cell r="M51">
            <v>6</v>
          </cell>
          <cell r="N51">
            <v>60</v>
          </cell>
          <cell r="O51">
            <v>9.99</v>
          </cell>
          <cell r="P51">
            <v>4.9950000000000001</v>
          </cell>
        </row>
        <row r="52">
          <cell r="F52" t="str">
            <v>LL-98-3186</v>
          </cell>
          <cell r="G52" t="str">
            <v>Grounding Stone Set - Lavender &amp; Chamomile</v>
          </cell>
          <cell r="H52" t="str">
            <v>Y</v>
          </cell>
          <cell r="I52" t="str">
            <v>331</v>
          </cell>
          <cell r="J52">
            <v>810076213316</v>
          </cell>
          <cell r="K52">
            <v>50810076213311</v>
          </cell>
          <cell r="L52">
            <v>30810076213317</v>
          </cell>
          <cell r="M52">
            <v>6</v>
          </cell>
          <cell r="N52">
            <v>60</v>
          </cell>
          <cell r="O52">
            <v>9.99</v>
          </cell>
          <cell r="P52">
            <v>4.9950000000000001</v>
          </cell>
        </row>
        <row r="53">
          <cell r="F53" t="str">
            <v>LL-98-3187</v>
          </cell>
          <cell r="G53" t="str">
            <v>Grounding Stone Set - Jasmine &amp; Amber</v>
          </cell>
          <cell r="H53" t="str">
            <v>Y</v>
          </cell>
          <cell r="I53" t="str">
            <v>332</v>
          </cell>
          <cell r="J53">
            <v>810076213323</v>
          </cell>
          <cell r="K53">
            <v>50810076213328</v>
          </cell>
          <cell r="L53">
            <v>30810076213324</v>
          </cell>
          <cell r="M53">
            <v>6</v>
          </cell>
          <cell r="N53">
            <v>60</v>
          </cell>
          <cell r="O53">
            <v>9.99</v>
          </cell>
          <cell r="P53">
            <v>4.9950000000000001</v>
          </cell>
        </row>
        <row r="54">
          <cell r="F54" t="str">
            <v>11-4001</v>
          </cell>
          <cell r="G54" t="str">
            <v>Grounding Stones - Tactile Set - "Classic"</v>
          </cell>
          <cell r="H54" t="str">
            <v>Y</v>
          </cell>
          <cell r="I54" t="str">
            <v>031</v>
          </cell>
          <cell r="J54">
            <v>810076210315</v>
          </cell>
          <cell r="K54">
            <v>50810076210310</v>
          </cell>
          <cell r="L54">
            <v>30810076210316</v>
          </cell>
          <cell r="M54">
            <v>4</v>
          </cell>
          <cell r="N54">
            <v>24</v>
          </cell>
          <cell r="O54">
            <v>19.989999999999998</v>
          </cell>
          <cell r="P54">
            <v>9.9949999999999992</v>
          </cell>
        </row>
        <row r="55">
          <cell r="F55" t="str">
            <v>11-4501</v>
          </cell>
          <cell r="G55" t="str">
            <v>Grounding Stones - Fidget Set - "Flow"</v>
          </cell>
          <cell r="H55" t="str">
            <v>Y</v>
          </cell>
          <cell r="I55" t="str">
            <v>032</v>
          </cell>
          <cell r="J55">
            <v>810076210322</v>
          </cell>
          <cell r="K55">
            <v>50810076210327</v>
          </cell>
          <cell r="L55">
            <v>30810076210323</v>
          </cell>
          <cell r="M55">
            <v>4</v>
          </cell>
          <cell r="N55">
            <v>24</v>
          </cell>
          <cell r="O55">
            <v>19.989999999999998</v>
          </cell>
          <cell r="P55">
            <v>9.9949999999999992</v>
          </cell>
        </row>
        <row r="56">
          <cell r="F56" t="str">
            <v>11-4502</v>
          </cell>
          <cell r="G56" t="str">
            <v>Grounding Stones - Fidget Set - "Gravity"</v>
          </cell>
          <cell r="H56" t="str">
            <v>Y</v>
          </cell>
          <cell r="I56" t="str">
            <v>033</v>
          </cell>
          <cell r="J56">
            <v>810076210339</v>
          </cell>
          <cell r="K56">
            <v>50810076210334</v>
          </cell>
          <cell r="L56">
            <v>30810076210330</v>
          </cell>
          <cell r="M56">
            <v>4</v>
          </cell>
          <cell r="N56">
            <v>24</v>
          </cell>
          <cell r="O56">
            <v>19.989999999999998</v>
          </cell>
          <cell r="P56">
            <v>9.9949999999999992</v>
          </cell>
        </row>
        <row r="57">
          <cell r="F57" t="str">
            <v>LL-12-3164</v>
          </cell>
          <cell r="G57" t="str">
            <v>Pen Diffuser Single with 4 Multi-Colored Refills: Citrus Grove+</v>
          </cell>
          <cell r="H57" t="str">
            <v>N</v>
          </cell>
          <cell r="I57" t="str">
            <v>309</v>
          </cell>
          <cell r="J57">
            <v>810076213095</v>
          </cell>
          <cell r="K57">
            <v>50810076213090</v>
          </cell>
          <cell r="L57">
            <v>30810076213096</v>
          </cell>
          <cell r="M57"/>
          <cell r="N57"/>
          <cell r="O57">
            <v>14.99</v>
          </cell>
          <cell r="P57">
            <v>7.4950000000000001</v>
          </cell>
        </row>
        <row r="58">
          <cell r="F58" t="str">
            <v>LL-12-3165</v>
          </cell>
          <cell r="G58" t="str">
            <v>Pen Diffuser Single with 4 Multi-Colored Refills: In Bloom+</v>
          </cell>
          <cell r="H58" t="str">
            <v>N</v>
          </cell>
          <cell r="I58" t="str">
            <v>310</v>
          </cell>
          <cell r="J58">
            <v>810076213101</v>
          </cell>
          <cell r="K58">
            <v>50810076213106</v>
          </cell>
          <cell r="L58">
            <v>30810076213102</v>
          </cell>
          <cell r="M58"/>
          <cell r="N58"/>
          <cell r="O58">
            <v>14.99</v>
          </cell>
          <cell r="P58">
            <v>7.4950000000000001</v>
          </cell>
        </row>
        <row r="59">
          <cell r="F59" t="str">
            <v>LL-12-3166</v>
          </cell>
          <cell r="G59" t="str">
            <v>Pen Diffuser Single with 4 Multi-Colored Refills: Crisp Mountain Air+</v>
          </cell>
          <cell r="H59" t="str">
            <v>N</v>
          </cell>
          <cell r="I59" t="str">
            <v>311</v>
          </cell>
          <cell r="J59">
            <v>810076213118</v>
          </cell>
          <cell r="K59">
            <v>50810076213113</v>
          </cell>
          <cell r="L59">
            <v>30810076213119</v>
          </cell>
          <cell r="M59"/>
          <cell r="N59"/>
          <cell r="O59">
            <v>14.99</v>
          </cell>
          <cell r="P59">
            <v>7.4950000000000001</v>
          </cell>
        </row>
        <row r="60">
          <cell r="F60" t="str">
            <v>11-2501</v>
          </cell>
          <cell r="G60" t="str">
            <v>Pen Diffuser with Essential Oil Blends - In Bloom</v>
          </cell>
          <cell r="H60" t="str">
            <v>Y</v>
          </cell>
          <cell r="I60" t="str">
            <v>049</v>
          </cell>
          <cell r="J60">
            <v>810076210490</v>
          </cell>
          <cell r="K60">
            <v>50810076210495</v>
          </cell>
          <cell r="L60">
            <v>30810076210491</v>
          </cell>
          <cell r="M60">
            <v>6</v>
          </cell>
          <cell r="N60">
            <v>72</v>
          </cell>
          <cell r="O60">
            <v>12.99</v>
          </cell>
          <cell r="P60">
            <v>6.4950000000000001</v>
          </cell>
        </row>
        <row r="61">
          <cell r="F61" t="str">
            <v>LL-11-2501-A</v>
          </cell>
          <cell r="G61" t="str">
            <v>Pen Diffuser with Essential Oil Blends - In Bloom</v>
          </cell>
          <cell r="H61" t="str">
            <v>N</v>
          </cell>
          <cell r="I61" t="str">
            <v>196</v>
          </cell>
          <cell r="J61">
            <v>810076211961</v>
          </cell>
          <cell r="K61">
            <v>50810076211966</v>
          </cell>
          <cell r="L61">
            <v>30810076211962</v>
          </cell>
          <cell r="M61">
            <v>4</v>
          </cell>
          <cell r="N61">
            <v>12</v>
          </cell>
          <cell r="O61">
            <v>12.99</v>
          </cell>
          <cell r="P61">
            <v>6.4950000000000001</v>
          </cell>
        </row>
        <row r="62">
          <cell r="F62" t="str">
            <v>11-2502</v>
          </cell>
          <cell r="G62" t="str">
            <v>Pen Diffuser with  Essential Oil Blends - Citrus Grove</v>
          </cell>
          <cell r="H62" t="str">
            <v>Y</v>
          </cell>
          <cell r="I62" t="str">
            <v>050</v>
          </cell>
          <cell r="J62">
            <v>810076210506</v>
          </cell>
          <cell r="K62">
            <v>50810076210501</v>
          </cell>
          <cell r="L62">
            <v>30810076210507</v>
          </cell>
          <cell r="M62">
            <v>6</v>
          </cell>
          <cell r="N62">
            <v>72</v>
          </cell>
          <cell r="O62">
            <v>12.99</v>
          </cell>
          <cell r="P62">
            <v>6.4950000000000001</v>
          </cell>
        </row>
        <row r="63">
          <cell r="F63" t="str">
            <v>LL-11-2502-CP12</v>
          </cell>
          <cell r="G63" t="str">
            <v>Pen Diffuser with  Essential Oil Blends - Citrus Grove</v>
          </cell>
          <cell r="H63" t="str">
            <v>N</v>
          </cell>
          <cell r="I63" t="str">
            <v/>
          </cell>
          <cell r="K63">
            <v>60810076210508</v>
          </cell>
          <cell r="L63">
            <v>40810076210504</v>
          </cell>
          <cell r="M63">
            <v>4</v>
          </cell>
          <cell r="N63">
            <v>12</v>
          </cell>
          <cell r="O63">
            <v>12.99</v>
          </cell>
          <cell r="P63">
            <v>6.4950000000000001</v>
          </cell>
        </row>
        <row r="64">
          <cell r="F64" t="str">
            <v>11-2503</v>
          </cell>
          <cell r="G64" t="str">
            <v>Pen Diffuser with  Essential Oil Blends - Walk In The Woods</v>
          </cell>
          <cell r="H64" t="str">
            <v>Y</v>
          </cell>
          <cell r="I64" t="str">
            <v>051</v>
          </cell>
          <cell r="J64">
            <v>810076210513</v>
          </cell>
          <cell r="K64">
            <v>50810076210518</v>
          </cell>
          <cell r="L64">
            <v>30810076210514</v>
          </cell>
          <cell r="M64">
            <v>6</v>
          </cell>
          <cell r="N64">
            <v>72</v>
          </cell>
          <cell r="O64">
            <v>12.99</v>
          </cell>
          <cell r="P64">
            <v>6.4950000000000001</v>
          </cell>
        </row>
        <row r="65">
          <cell r="F65" t="str">
            <v>LL-11-2503-A</v>
          </cell>
          <cell r="G65" t="str">
            <v>Pen Diffuser with  Essential Oil Blends - Walk In The Woods</v>
          </cell>
          <cell r="H65" t="str">
            <v>N</v>
          </cell>
          <cell r="I65" t="str">
            <v>197</v>
          </cell>
          <cell r="J65">
            <v>810076211978</v>
          </cell>
          <cell r="K65">
            <v>50810076211973</v>
          </cell>
          <cell r="L65">
            <v>30810076211979</v>
          </cell>
          <cell r="M65">
            <v>4</v>
          </cell>
          <cell r="N65">
            <v>12</v>
          </cell>
          <cell r="O65">
            <v>12.99</v>
          </cell>
          <cell r="P65">
            <v>6.4950000000000001</v>
          </cell>
        </row>
        <row r="66">
          <cell r="F66" t="str">
            <v>11-2504</v>
          </cell>
          <cell r="G66" t="str">
            <v>Pen Diffuser with Essential Oil Blend- Crisp Mountain Air</v>
          </cell>
          <cell r="H66" t="str">
            <v>Y</v>
          </cell>
          <cell r="I66" t="str">
            <v>028</v>
          </cell>
          <cell r="J66">
            <v>810076210285</v>
          </cell>
          <cell r="K66">
            <v>50810076210280</v>
          </cell>
          <cell r="L66">
            <v>30810076210286</v>
          </cell>
          <cell r="M66">
            <v>6</v>
          </cell>
          <cell r="N66">
            <v>72</v>
          </cell>
          <cell r="O66">
            <v>12.99</v>
          </cell>
          <cell r="P66">
            <v>6.4950000000000001</v>
          </cell>
        </row>
        <row r="67">
          <cell r="F67" t="str">
            <v>LL-11-2504-CP12</v>
          </cell>
          <cell r="G67" t="str">
            <v>Pen Diffuser with Essential Oil Blend- Crisp Mountain Air</v>
          </cell>
          <cell r="H67" t="str">
            <v>N</v>
          </cell>
          <cell r="I67" t="str">
            <v/>
          </cell>
          <cell r="K67">
            <v>60810076210287</v>
          </cell>
          <cell r="L67">
            <v>40810076210283</v>
          </cell>
          <cell r="M67">
            <v>4</v>
          </cell>
          <cell r="N67">
            <v>12</v>
          </cell>
          <cell r="O67">
            <v>12.99</v>
          </cell>
          <cell r="P67">
            <v>6.4950000000000001</v>
          </cell>
        </row>
        <row r="68">
          <cell r="F68" t="str">
            <v>11-2505</v>
          </cell>
          <cell r="G68" t="str">
            <v>Pen Diffuser with Essential Oil Blends - Spice Rush</v>
          </cell>
          <cell r="H68" t="str">
            <v>Y</v>
          </cell>
          <cell r="I68" t="str">
            <v>052</v>
          </cell>
          <cell r="J68">
            <v>810076210520</v>
          </cell>
          <cell r="K68">
            <v>50810076210525</v>
          </cell>
          <cell r="L68">
            <v>30810076210521</v>
          </cell>
          <cell r="M68">
            <v>6</v>
          </cell>
          <cell r="N68">
            <v>72</v>
          </cell>
          <cell r="O68">
            <v>12.99</v>
          </cell>
          <cell r="P68">
            <v>6.4950000000000001</v>
          </cell>
        </row>
        <row r="69">
          <cell r="F69" t="str">
            <v>LL-11-3120</v>
          </cell>
          <cell r="G69" t="str">
            <v>Pen Diffuser with Essential Oil Blends - No Retail Box - Undefined Scent</v>
          </cell>
          <cell r="H69" t="str">
            <v>N</v>
          </cell>
          <cell r="I69" t="str">
            <v/>
          </cell>
          <cell r="J69" t="str">
            <v/>
          </cell>
          <cell r="K69" t="str">
            <v/>
          </cell>
          <cell r="L69" t="str">
            <v/>
          </cell>
          <cell r="M69"/>
          <cell r="N69"/>
          <cell r="O69">
            <v>12.99</v>
          </cell>
          <cell r="P69">
            <v>6.4950000000000001</v>
          </cell>
        </row>
        <row r="70">
          <cell r="F70" t="str">
            <v>LL-12-3121</v>
          </cell>
          <cell r="G70" t="str">
            <v>Pen Diffuser with Essential Oil Blends -  Spiced Chai Latte</v>
          </cell>
          <cell r="H70" t="str">
            <v>Y</v>
          </cell>
          <cell r="I70" t="str">
            <v>264</v>
          </cell>
          <cell r="J70">
            <v>810076212647</v>
          </cell>
          <cell r="K70">
            <v>50810076212642</v>
          </cell>
          <cell r="L70">
            <v>30810076212648</v>
          </cell>
          <cell r="M70">
            <v>4</v>
          </cell>
          <cell r="N70">
            <v>12</v>
          </cell>
          <cell r="O70">
            <v>12.99</v>
          </cell>
          <cell r="P70">
            <v>6.4950000000000001</v>
          </cell>
        </row>
        <row r="71">
          <cell r="F71" t="str">
            <v>LL-12-3122</v>
          </cell>
          <cell r="G71" t="str">
            <v>Pen Diffuser with Essential Oil Blends -  Cinnamon Roll</v>
          </cell>
          <cell r="H71" t="str">
            <v>Y</v>
          </cell>
          <cell r="I71" t="str">
            <v>265</v>
          </cell>
          <cell r="J71">
            <v>810076212654</v>
          </cell>
          <cell r="K71">
            <v>50810076212659</v>
          </cell>
          <cell r="L71">
            <v>30810076212655</v>
          </cell>
          <cell r="M71">
            <v>4</v>
          </cell>
          <cell r="N71">
            <v>12</v>
          </cell>
          <cell r="O71">
            <v>12.99</v>
          </cell>
          <cell r="P71">
            <v>6.4950000000000001</v>
          </cell>
        </row>
        <row r="72">
          <cell r="F72" t="str">
            <v>LL-12-3123</v>
          </cell>
          <cell r="G72" t="str">
            <v>Pen Diffuser with Essential Oil Blends -  Strawberry Milkshake</v>
          </cell>
          <cell r="H72" t="str">
            <v>Y</v>
          </cell>
          <cell r="I72" t="str">
            <v>266</v>
          </cell>
          <cell r="J72">
            <v>810076212661</v>
          </cell>
          <cell r="K72">
            <v>50810076212666</v>
          </cell>
          <cell r="L72">
            <v>30810076212662</v>
          </cell>
          <cell r="M72">
            <v>4</v>
          </cell>
          <cell r="N72">
            <v>12</v>
          </cell>
          <cell r="O72">
            <v>12.99</v>
          </cell>
          <cell r="P72">
            <v>6.4950000000000001</v>
          </cell>
        </row>
        <row r="73">
          <cell r="F73" t="str">
            <v>LL-12-3124</v>
          </cell>
          <cell r="G73" t="str">
            <v>Pen Diffuser with Essential Oil Blends -  Cotton Candy</v>
          </cell>
          <cell r="H73" t="str">
            <v>Y</v>
          </cell>
          <cell r="I73" t="str">
            <v>267</v>
          </cell>
          <cell r="J73">
            <v>810076212678</v>
          </cell>
          <cell r="K73">
            <v>50810076212673</v>
          </cell>
          <cell r="L73">
            <v>30810076212679</v>
          </cell>
          <cell r="M73">
            <v>4</v>
          </cell>
          <cell r="N73">
            <v>12</v>
          </cell>
          <cell r="O73">
            <v>12.99</v>
          </cell>
          <cell r="P73">
            <v>6.4950000000000001</v>
          </cell>
        </row>
        <row r="74">
          <cell r="F74" t="str">
            <v>LL-12-3125</v>
          </cell>
          <cell r="G74" t="str">
            <v>Pen Diffuser with Essential Oil Blends -  Apple Crisp</v>
          </cell>
          <cell r="H74" t="str">
            <v>Y</v>
          </cell>
          <cell r="I74" t="str">
            <v>268</v>
          </cell>
          <cell r="J74">
            <v>810076212685</v>
          </cell>
          <cell r="K74">
            <v>50810076212680</v>
          </cell>
          <cell r="L74">
            <v>30810076212686</v>
          </cell>
          <cell r="M74">
            <v>4</v>
          </cell>
          <cell r="N74">
            <v>12</v>
          </cell>
          <cell r="O74">
            <v>12.99</v>
          </cell>
          <cell r="P74">
            <v>6.4950000000000001</v>
          </cell>
        </row>
        <row r="75">
          <cell r="F75" t="str">
            <v>LL-12-3126</v>
          </cell>
          <cell r="G75" t="str">
            <v>Pen Diffuser with Essential Oil Blends -  Chocolate Chip Cookie</v>
          </cell>
          <cell r="H75" t="str">
            <v>Y</v>
          </cell>
          <cell r="I75" t="str">
            <v>269</v>
          </cell>
          <cell r="J75">
            <v>810076212692</v>
          </cell>
          <cell r="K75">
            <v>50810076212697</v>
          </cell>
          <cell r="L75">
            <v>30810076212693</v>
          </cell>
          <cell r="M75">
            <v>4</v>
          </cell>
          <cell r="N75">
            <v>12</v>
          </cell>
          <cell r="O75">
            <v>12.99</v>
          </cell>
          <cell r="P75">
            <v>6.4950000000000001</v>
          </cell>
        </row>
        <row r="76">
          <cell r="F76" t="str">
            <v>LL-12-3121-CP72</v>
          </cell>
          <cell r="G76" t="str">
            <v>Pen Diffuser with Essential Oil Blends -  Spiced Chai Latte</v>
          </cell>
          <cell r="H76" t="str">
            <v>N</v>
          </cell>
          <cell r="I76" t="str">
            <v/>
          </cell>
          <cell r="K76">
            <v>60810076212649</v>
          </cell>
          <cell r="L76">
            <v>40810076212645</v>
          </cell>
          <cell r="M76">
            <v>6</v>
          </cell>
          <cell r="N76">
            <v>72</v>
          </cell>
          <cell r="O76">
            <v>12.99</v>
          </cell>
          <cell r="P76">
            <v>6.4950000000000001</v>
          </cell>
        </row>
        <row r="77">
          <cell r="F77" t="str">
            <v>LL-12-3122-CP72</v>
          </cell>
          <cell r="G77" t="str">
            <v>Pen Diffuser with Essential Oil Blends -  Cinnamon Roll</v>
          </cell>
          <cell r="H77" t="str">
            <v>N</v>
          </cell>
          <cell r="I77" t="str">
            <v/>
          </cell>
          <cell r="K77">
            <v>60810076212656</v>
          </cell>
          <cell r="L77">
            <v>40810076212652</v>
          </cell>
          <cell r="M77">
            <v>6</v>
          </cell>
          <cell r="N77">
            <v>72</v>
          </cell>
          <cell r="O77">
            <v>12.99</v>
          </cell>
          <cell r="P77">
            <v>6.4950000000000001</v>
          </cell>
        </row>
        <row r="78">
          <cell r="F78" t="str">
            <v>LL-12-3123-CP72</v>
          </cell>
          <cell r="G78" t="str">
            <v>Pen Diffuser with Essential Oil Blends -  Strawberry Milkshake</v>
          </cell>
          <cell r="H78" t="str">
            <v>N</v>
          </cell>
          <cell r="I78" t="str">
            <v/>
          </cell>
          <cell r="K78">
            <v>60810076212663</v>
          </cell>
          <cell r="L78">
            <v>40810076212669</v>
          </cell>
          <cell r="M78">
            <v>6</v>
          </cell>
          <cell r="N78">
            <v>72</v>
          </cell>
          <cell r="O78">
            <v>12.99</v>
          </cell>
          <cell r="P78">
            <v>6.4950000000000001</v>
          </cell>
        </row>
        <row r="79">
          <cell r="F79" t="str">
            <v>LL-12-3124-CP72</v>
          </cell>
          <cell r="G79" t="str">
            <v>Pen Diffuser with Essential Oil Blends -  Cotton Candy</v>
          </cell>
          <cell r="H79" t="str">
            <v>N</v>
          </cell>
          <cell r="I79" t="str">
            <v/>
          </cell>
          <cell r="K79">
            <v>60810076212670</v>
          </cell>
          <cell r="L79">
            <v>40810076212676</v>
          </cell>
          <cell r="M79">
            <v>6</v>
          </cell>
          <cell r="N79">
            <v>72</v>
          </cell>
          <cell r="O79">
            <v>12.99</v>
          </cell>
          <cell r="P79">
            <v>6.4950000000000001</v>
          </cell>
        </row>
        <row r="80">
          <cell r="F80" t="str">
            <v>LL-12-3125-CP72</v>
          </cell>
          <cell r="G80" t="str">
            <v>Pen Diffuser with Essential Oil Blends -  Apple Crisp</v>
          </cell>
          <cell r="H80" t="str">
            <v>N</v>
          </cell>
          <cell r="I80" t="str">
            <v/>
          </cell>
          <cell r="K80">
            <v>60810076212687</v>
          </cell>
          <cell r="L80">
            <v>40810076212683</v>
          </cell>
          <cell r="M80">
            <v>6</v>
          </cell>
          <cell r="N80">
            <v>72</v>
          </cell>
          <cell r="O80">
            <v>12.99</v>
          </cell>
          <cell r="P80">
            <v>6.4950000000000001</v>
          </cell>
        </row>
        <row r="81">
          <cell r="F81" t="str">
            <v>LL-12-3126-CP72</v>
          </cell>
          <cell r="G81" t="str">
            <v>Pen Diffuser with Essential Oil Blends -  Chocolate Chip Cookie</v>
          </cell>
          <cell r="H81" t="str">
            <v>N</v>
          </cell>
          <cell r="I81" t="str">
            <v/>
          </cell>
          <cell r="K81">
            <v>60810076212694</v>
          </cell>
          <cell r="L81">
            <v>40810076212690</v>
          </cell>
          <cell r="M81">
            <v>6</v>
          </cell>
          <cell r="N81">
            <v>72</v>
          </cell>
          <cell r="O81">
            <v>12.99</v>
          </cell>
          <cell r="P81">
            <v>6.4950000000000001</v>
          </cell>
        </row>
        <row r="82">
          <cell r="F82" t="str">
            <v>LL-12-3000</v>
          </cell>
          <cell r="G82" t="str">
            <v>Yummy Pens Gift Set - Coffeehouse (3Pck)</v>
          </cell>
          <cell r="H82" t="str">
            <v>Y</v>
          </cell>
          <cell r="I82" t="str">
            <v>238</v>
          </cell>
          <cell r="J82">
            <v>810076212388</v>
          </cell>
          <cell r="K82">
            <v>50810076212383</v>
          </cell>
          <cell r="L82">
            <v>30810076212389</v>
          </cell>
          <cell r="M82">
            <v>6</v>
          </cell>
          <cell r="N82">
            <v>36</v>
          </cell>
          <cell r="P82"/>
        </row>
        <row r="83">
          <cell r="F83" t="str">
            <v>LL-12-3001</v>
          </cell>
          <cell r="G83" t="str">
            <v>Yummy Pens Gift Set - Favorite Desserts (3Pck)</v>
          </cell>
          <cell r="H83" t="str">
            <v>Y</v>
          </cell>
          <cell r="I83" t="str">
            <v>239</v>
          </cell>
          <cell r="J83">
            <v>810076212395</v>
          </cell>
          <cell r="K83">
            <v>50810076212390</v>
          </cell>
          <cell r="L83">
            <v>30810076212396</v>
          </cell>
          <cell r="M83">
            <v>6</v>
          </cell>
          <cell r="N83">
            <v>36</v>
          </cell>
          <cell r="P83"/>
        </row>
        <row r="84">
          <cell r="F84" t="str">
            <v>LL-12-3002</v>
          </cell>
          <cell r="G84" t="str">
            <v>Yummy Pens Gift Set - Candy Store (3Pck)</v>
          </cell>
          <cell r="H84" t="str">
            <v>Y</v>
          </cell>
          <cell r="I84" t="str">
            <v>240</v>
          </cell>
          <cell r="J84">
            <v>810076212401</v>
          </cell>
          <cell r="K84">
            <v>50810076212406</v>
          </cell>
          <cell r="L84">
            <v>30810076212402</v>
          </cell>
          <cell r="M84">
            <v>6</v>
          </cell>
          <cell r="N84">
            <v>36</v>
          </cell>
          <cell r="P84"/>
        </row>
        <row r="85">
          <cell r="F85" t="str">
            <v>LL-12-2522</v>
          </cell>
          <cell r="G85" t="str">
            <v>Yummy Pens Gift Set - Diner (3Pck)</v>
          </cell>
          <cell r="H85" t="str">
            <v>Y</v>
          </cell>
          <cell r="I85" t="str">
            <v>263</v>
          </cell>
          <cell r="J85">
            <v>810076212630</v>
          </cell>
          <cell r="K85">
            <v>50810076212635</v>
          </cell>
          <cell r="L85">
            <v>30810076212631</v>
          </cell>
          <cell r="M85">
            <v>6</v>
          </cell>
          <cell r="N85">
            <v>36</v>
          </cell>
        </row>
        <row r="86">
          <cell r="F86" t="str">
            <v>11-9005</v>
          </cell>
          <cell r="G86" t="str">
            <v>Pen Diffuser Set - 4-pack</v>
          </cell>
          <cell r="H86" t="str">
            <v>Y</v>
          </cell>
          <cell r="I86" t="str">
            <v>043</v>
          </cell>
          <cell r="J86">
            <v>810076210438</v>
          </cell>
          <cell r="K86">
            <v>50810076210433</v>
          </cell>
          <cell r="L86">
            <v>30810076210439</v>
          </cell>
          <cell r="M86">
            <v>6</v>
          </cell>
          <cell r="N86">
            <v>36</v>
          </cell>
          <cell r="O86">
            <v>34.99</v>
          </cell>
          <cell r="P86">
            <v>17.495000000000001</v>
          </cell>
        </row>
        <row r="87">
          <cell r="F87">
            <v>112515</v>
          </cell>
          <cell r="G87" t="str">
            <v>Winter Pen Diffuser - Glowing Embers</v>
          </cell>
          <cell r="H87" t="str">
            <v>Y</v>
          </cell>
          <cell r="I87" t="str">
            <v>105</v>
          </cell>
          <cell r="J87">
            <v>810076211053</v>
          </cell>
          <cell r="K87">
            <v>50810076211058</v>
          </cell>
          <cell r="L87">
            <v>30810076211054</v>
          </cell>
          <cell r="M87" t="str">
            <v/>
          </cell>
          <cell r="N87" t="str">
            <v/>
          </cell>
          <cell r="O87">
            <v>9.99</v>
          </cell>
          <cell r="P87">
            <v>4.9950000000000001</v>
          </cell>
        </row>
        <row r="88">
          <cell r="F88">
            <v>112516</v>
          </cell>
          <cell r="G88" t="str">
            <v xml:space="preserve">Winter Pen Diffuser - Winter Mint </v>
          </cell>
          <cell r="H88" t="str">
            <v>Y</v>
          </cell>
          <cell r="I88" t="str">
            <v>106</v>
          </cell>
          <cell r="J88">
            <v>810076211060</v>
          </cell>
          <cell r="K88">
            <v>50810076211065</v>
          </cell>
          <cell r="L88">
            <v>30810076211061</v>
          </cell>
          <cell r="M88" t="str">
            <v/>
          </cell>
          <cell r="N88" t="str">
            <v/>
          </cell>
          <cell r="O88">
            <v>9.99</v>
          </cell>
          <cell r="P88">
            <v>4.9950000000000001</v>
          </cell>
        </row>
        <row r="89">
          <cell r="F89">
            <v>112517</v>
          </cell>
          <cell r="G89" t="str">
            <v xml:space="preserve">Winter Pen Diffuser - Midnight Snowfall </v>
          </cell>
          <cell r="H89" t="str">
            <v>Y</v>
          </cell>
          <cell r="I89" t="str">
            <v>107</v>
          </cell>
          <cell r="J89">
            <v>810076211077</v>
          </cell>
          <cell r="K89">
            <v>50810076211072</v>
          </cell>
          <cell r="L89">
            <v>30810076211078</v>
          </cell>
          <cell r="M89" t="str">
            <v/>
          </cell>
          <cell r="N89" t="str">
            <v/>
          </cell>
          <cell r="O89">
            <v>9.99</v>
          </cell>
          <cell r="P89">
            <v>4.9950000000000001</v>
          </cell>
        </row>
        <row r="90">
          <cell r="F90">
            <v>112518</v>
          </cell>
          <cell r="G90" t="str">
            <v>Winter Pen Diffuser - Frosty Pine Forest</v>
          </cell>
          <cell r="H90" t="str">
            <v>Y</v>
          </cell>
          <cell r="I90" t="str">
            <v>108</v>
          </cell>
          <cell r="J90">
            <v>810076211084</v>
          </cell>
          <cell r="K90">
            <v>50810076211089</v>
          </cell>
          <cell r="L90">
            <v>30810076211085</v>
          </cell>
          <cell r="M90" t="str">
            <v/>
          </cell>
          <cell r="N90" t="str">
            <v/>
          </cell>
          <cell r="O90">
            <v>9.99</v>
          </cell>
          <cell r="P90">
            <v>4.9950000000000001</v>
          </cell>
        </row>
        <row r="91">
          <cell r="F91" t="str">
            <v>LL-12-3127</v>
          </cell>
          <cell r="G91" t="str">
            <v>Winter Pen Diffuser - 3Pck</v>
          </cell>
          <cell r="H91" t="str">
            <v>Y</v>
          </cell>
          <cell r="I91" t="str">
            <v>270</v>
          </cell>
          <cell r="J91">
            <v>810076212708</v>
          </cell>
          <cell r="K91">
            <v>50810076212703</v>
          </cell>
          <cell r="L91">
            <v>30810076212709</v>
          </cell>
          <cell r="M91"/>
          <cell r="N91">
            <v>72</v>
          </cell>
        </row>
        <row r="92">
          <cell r="F92">
            <v>119502</v>
          </cell>
          <cell r="G92" t="str">
            <v>Pen Diffuser Set - 4-pack (Winter)</v>
          </cell>
          <cell r="H92" t="str">
            <v>Y</v>
          </cell>
          <cell r="I92" t="str">
            <v>109</v>
          </cell>
          <cell r="J92">
            <v>810076211091</v>
          </cell>
          <cell r="K92">
            <v>50810076211096</v>
          </cell>
          <cell r="L92">
            <v>30810076211092</v>
          </cell>
          <cell r="M92" t="str">
            <v/>
          </cell>
          <cell r="N92" t="str">
            <v/>
          </cell>
          <cell r="O92">
            <v>39.99</v>
          </cell>
          <cell r="P92">
            <v>19.995000000000001</v>
          </cell>
        </row>
        <row r="93">
          <cell r="F93" t="str">
            <v>11-2514</v>
          </cell>
          <cell r="G93" t="str">
            <v>Pen Diffuser with Essential Oil Blends - Herbal Garden</v>
          </cell>
          <cell r="H93" t="str">
            <v>Y</v>
          </cell>
          <cell r="I93" t="str">
            <v>120</v>
          </cell>
          <cell r="J93">
            <v>810076211206</v>
          </cell>
          <cell r="K93">
            <v>50810076211201</v>
          </cell>
          <cell r="L93">
            <v>30810076211207</v>
          </cell>
          <cell r="M93">
            <v>6</v>
          </cell>
          <cell r="N93">
            <v>72</v>
          </cell>
          <cell r="O93">
            <v>9.99</v>
          </cell>
          <cell r="P93">
            <v>4.9950000000000001</v>
          </cell>
        </row>
        <row r="94">
          <cell r="F94" t="str">
            <v>16-0101</v>
          </cell>
          <cell r="G94" t="str">
            <v>Find Your Path Sensory Journal - with Tactile Cover &amp; Embossed Paper</v>
          </cell>
          <cell r="H94" t="str">
            <v>Y</v>
          </cell>
          <cell r="I94" t="str">
            <v>036</v>
          </cell>
          <cell r="J94">
            <v>810076210360</v>
          </cell>
          <cell r="K94">
            <v>50810076210365</v>
          </cell>
          <cell r="L94">
            <v>30810076210361</v>
          </cell>
          <cell r="M94">
            <v>6</v>
          </cell>
          <cell r="N94">
            <v>12</v>
          </cell>
          <cell r="O94">
            <v>12.99</v>
          </cell>
          <cell r="P94">
            <v>6.4950000000000001</v>
          </cell>
        </row>
        <row r="95">
          <cell r="F95" t="str">
            <v>16-0102</v>
          </cell>
          <cell r="G95" t="str">
            <v>Take Your Time Sensory Journal - with Tactile Cover &amp; Embossed Paper</v>
          </cell>
          <cell r="H95" t="str">
            <v>Y</v>
          </cell>
          <cell r="I95" t="str">
            <v>037</v>
          </cell>
          <cell r="J95">
            <v>810076210377</v>
          </cell>
          <cell r="K95">
            <v>50810076210372</v>
          </cell>
          <cell r="L95">
            <v>30810076210378</v>
          </cell>
          <cell r="M95">
            <v>6</v>
          </cell>
          <cell r="N95">
            <v>12</v>
          </cell>
          <cell r="O95">
            <v>12.99</v>
          </cell>
          <cell r="P95">
            <v>6.4950000000000001</v>
          </cell>
        </row>
        <row r="96">
          <cell r="F96" t="str">
            <v>16-0103</v>
          </cell>
          <cell r="G96" t="str">
            <v>Shake It Up Sensory Journal (Ocean - Blue/Green) - with Tactile Cover &amp; Embossed Paper</v>
          </cell>
          <cell r="H96" t="str">
            <v>Y</v>
          </cell>
          <cell r="I96" t="str">
            <v>039</v>
          </cell>
          <cell r="J96">
            <v>810076210391</v>
          </cell>
          <cell r="K96">
            <v>50810076210396</v>
          </cell>
          <cell r="L96">
            <v>30810076210392</v>
          </cell>
          <cell r="M96">
            <v>6</v>
          </cell>
          <cell r="N96">
            <v>12</v>
          </cell>
          <cell r="O96">
            <v>12.99</v>
          </cell>
          <cell r="P96">
            <v>6.4950000000000001</v>
          </cell>
        </row>
        <row r="97">
          <cell r="F97" t="str">
            <v>16-0109</v>
          </cell>
          <cell r="G97" t="str">
            <v>Shake It Up Sensory Journal (Meadow - Purple/Blue) - with Tactile Cover &amp; Embossed Paper</v>
          </cell>
          <cell r="H97" t="str">
            <v>Y</v>
          </cell>
          <cell r="I97" t="str">
            <v>074</v>
          </cell>
          <cell r="J97">
            <v>810076210742</v>
          </cell>
          <cell r="K97">
            <v>50810076210747</v>
          </cell>
          <cell r="L97">
            <v>30810076210743</v>
          </cell>
          <cell r="M97">
            <v>6</v>
          </cell>
          <cell r="N97">
            <v>12</v>
          </cell>
          <cell r="O97">
            <v>12.99</v>
          </cell>
          <cell r="P97">
            <v>6.4950000000000001</v>
          </cell>
        </row>
        <row r="98">
          <cell r="F98" t="str">
            <v>16-0110</v>
          </cell>
          <cell r="G98" t="str">
            <v>Shake It Up Sensory Journal (Garden - Puple/Pink) - with Tactile Cover &amp; Embossed Paper</v>
          </cell>
          <cell r="H98" t="str">
            <v>Y</v>
          </cell>
          <cell r="I98" t="str">
            <v>075</v>
          </cell>
          <cell r="J98">
            <v>810076210759</v>
          </cell>
          <cell r="K98">
            <v>50810076210754</v>
          </cell>
          <cell r="L98">
            <v>30810076210750</v>
          </cell>
          <cell r="M98">
            <v>6</v>
          </cell>
          <cell r="N98">
            <v>12</v>
          </cell>
          <cell r="O98">
            <v>12.99</v>
          </cell>
          <cell r="P98">
            <v>6.4950000000000001</v>
          </cell>
        </row>
        <row r="99">
          <cell r="F99" t="str">
            <v>17-1101</v>
          </cell>
          <cell r="G99" t="str">
            <v xml:space="preserve">Practice Makes Purpose Workbook </v>
          </cell>
          <cell r="H99" t="str">
            <v>Y</v>
          </cell>
          <cell r="I99" t="str">
            <v>978</v>
          </cell>
          <cell r="J99">
            <v>9781735439785</v>
          </cell>
          <cell r="K99">
            <v>50978173543974</v>
          </cell>
          <cell r="L99">
            <v>30978173543970</v>
          </cell>
          <cell r="M99" t="str">
            <v>N/A</v>
          </cell>
          <cell r="N99">
            <v>10</v>
          </cell>
          <cell r="O99">
            <v>14.99</v>
          </cell>
          <cell r="P99">
            <v>7.4950000000000001</v>
          </cell>
        </row>
        <row r="100">
          <cell r="F100" t="str">
            <v>99-9504</v>
          </cell>
          <cell r="G100" t="str">
            <v xml:space="preserve">Universal Tabletop Display - Empty </v>
          </cell>
          <cell r="H100" t="str">
            <v>N</v>
          </cell>
          <cell r="I100" t="str">
            <v>123</v>
          </cell>
          <cell r="J100">
            <v>810076211237</v>
          </cell>
          <cell r="K100">
            <v>50810076211232</v>
          </cell>
          <cell r="L100">
            <v>30810076211238</v>
          </cell>
          <cell r="M100"/>
          <cell r="N100"/>
          <cell r="O100" t="str">
            <v>-</v>
          </cell>
          <cell r="P100" t="e">
            <v>#VALUE!</v>
          </cell>
        </row>
        <row r="101">
          <cell r="F101" t="str">
            <v>11-2507</v>
          </cell>
          <cell r="G101" t="str">
            <v>Rub &amp; Sniff™ Scented Colored Pencils - 10-pack (Classic Palette)</v>
          </cell>
          <cell r="H101" t="str">
            <v>Y</v>
          </cell>
          <cell r="I101" t="str">
            <v>040</v>
          </cell>
          <cell r="J101">
            <v>810076210407</v>
          </cell>
          <cell r="K101">
            <v>50810076210402</v>
          </cell>
          <cell r="L101">
            <v>30810076210408</v>
          </cell>
          <cell r="M101">
            <v>12</v>
          </cell>
          <cell r="N101">
            <v>72</v>
          </cell>
          <cell r="O101">
            <v>12.99</v>
          </cell>
          <cell r="P101">
            <v>6.4950000000000001</v>
          </cell>
        </row>
        <row r="102">
          <cell r="F102" t="str">
            <v>LL-11-2507-A</v>
          </cell>
          <cell r="G102" t="str">
            <v>Rub &amp; Sniff™ Scented Colored Pencils - 10-pack (Classic Palette)</v>
          </cell>
          <cell r="H102" t="str">
            <v>N</v>
          </cell>
          <cell r="I102" t="str">
            <v>198</v>
          </cell>
          <cell r="J102">
            <v>810076211985</v>
          </cell>
          <cell r="K102">
            <v>50810076211980</v>
          </cell>
          <cell r="L102">
            <v>30810076211986</v>
          </cell>
          <cell r="M102">
            <v>4</v>
          </cell>
          <cell r="N102">
            <v>12</v>
          </cell>
          <cell r="O102">
            <v>12.99</v>
          </cell>
          <cell r="P102">
            <v>6.4950000000000001</v>
          </cell>
        </row>
        <row r="103">
          <cell r="F103" t="str">
            <v>11-2506</v>
          </cell>
          <cell r="G103" t="str">
            <v>Rub &amp; Sniff™ Scented Colored Pencils - 20-pack (Classic)</v>
          </cell>
          <cell r="H103" t="str">
            <v>Y</v>
          </cell>
          <cell r="I103" t="str">
            <v>097</v>
          </cell>
          <cell r="J103">
            <v>810076210971</v>
          </cell>
          <cell r="K103" t="str">
            <v/>
          </cell>
          <cell r="L103" t="str">
            <v/>
          </cell>
          <cell r="M103">
            <v>6</v>
          </cell>
          <cell r="N103">
            <v>36</v>
          </cell>
          <cell r="O103">
            <v>19.989999999999998</v>
          </cell>
          <cell r="P103">
            <v>9.9949999999999992</v>
          </cell>
        </row>
        <row r="104">
          <cell r="F104" t="str">
            <v>11-2512</v>
          </cell>
          <cell r="G104" t="str">
            <v>Rub &amp; Sniff™ Scented Colored Pencils - 10-pack (Earth Tones)</v>
          </cell>
          <cell r="H104" t="str">
            <v>Y</v>
          </cell>
          <cell r="I104" t="str">
            <v>082</v>
          </cell>
          <cell r="J104">
            <v>810076210827</v>
          </cell>
          <cell r="K104">
            <v>50810076210822</v>
          </cell>
          <cell r="L104">
            <v>30810076210828</v>
          </cell>
          <cell r="M104">
            <v>12</v>
          </cell>
          <cell r="N104">
            <v>72</v>
          </cell>
          <cell r="O104">
            <v>12.99</v>
          </cell>
          <cell r="P104">
            <v>6.4950000000000001</v>
          </cell>
        </row>
        <row r="105">
          <cell r="F105" t="str">
            <v>11-2512-CP12</v>
          </cell>
          <cell r="G105" t="str">
            <v>Rub &amp; Sniff™ Scented Colored Pencils - 10-pack (Earth Tones)-CP12</v>
          </cell>
          <cell r="H105" t="str">
            <v>N</v>
          </cell>
          <cell r="I105" t="str">
            <v/>
          </cell>
          <cell r="K105">
            <v>60810076210829</v>
          </cell>
          <cell r="L105">
            <v>40810076210825</v>
          </cell>
          <cell r="M105">
            <v>4</v>
          </cell>
          <cell r="N105">
            <v>12</v>
          </cell>
          <cell r="O105">
            <v>12.99</v>
          </cell>
          <cell r="P105">
            <v>6.4950000000000001</v>
          </cell>
        </row>
        <row r="106">
          <cell r="F106" t="str">
            <v>LL-12-3211</v>
          </cell>
          <cell r="G106" t="str">
            <v>Yummy Pencils - 10Pck</v>
          </cell>
          <cell r="H106" t="str">
            <v>Y</v>
          </cell>
          <cell r="I106" t="str">
            <v>383</v>
          </cell>
          <cell r="J106">
            <v>810076213835</v>
          </cell>
          <cell r="K106">
            <v>50810076213830</v>
          </cell>
          <cell r="L106">
            <v>30810076213836</v>
          </cell>
          <cell r="M106">
            <v>4</v>
          </cell>
          <cell r="N106">
            <v>12</v>
          </cell>
          <cell r="O106">
            <v>12.99</v>
          </cell>
          <cell r="P106">
            <v>6.4950000000000001</v>
          </cell>
        </row>
        <row r="107">
          <cell r="F107">
            <v>989103</v>
          </cell>
          <cell r="G107" t="str">
            <v>Waves with CMA 4 pk</v>
          </cell>
          <cell r="H107" t="str">
            <v>Y</v>
          </cell>
          <cell r="I107" t="str">
            <v>177</v>
          </cell>
          <cell r="J107">
            <v>810076211770</v>
          </cell>
          <cell r="K107">
            <v>50810076211775</v>
          </cell>
          <cell r="L107">
            <v>30810076211771</v>
          </cell>
          <cell r="M107" t="str">
            <v/>
          </cell>
          <cell r="N107" t="str">
            <v/>
          </cell>
          <cell r="O107">
            <v>49.99</v>
          </cell>
          <cell r="P107">
            <v>24.995000000000001</v>
          </cell>
        </row>
        <row r="108">
          <cell r="F108">
            <v>989104</v>
          </cell>
          <cell r="G108" t="str">
            <v>Waves with Citrus 4 pk</v>
          </cell>
          <cell r="H108" t="str">
            <v>Y</v>
          </cell>
          <cell r="I108" t="str">
            <v>178</v>
          </cell>
          <cell r="J108">
            <v>810076211787</v>
          </cell>
          <cell r="K108">
            <v>50810076211782</v>
          </cell>
          <cell r="L108">
            <v>30810076211788</v>
          </cell>
          <cell r="M108" t="str">
            <v/>
          </cell>
          <cell r="N108" t="str">
            <v/>
          </cell>
          <cell r="O108">
            <v>49.99</v>
          </cell>
          <cell r="P108">
            <v>24.995000000000001</v>
          </cell>
        </row>
        <row r="109">
          <cell r="F109">
            <v>989105</v>
          </cell>
          <cell r="G109" t="str">
            <v>Waves with In Bloom 4 pk</v>
          </cell>
          <cell r="H109" t="str">
            <v>Y</v>
          </cell>
          <cell r="I109" t="str">
            <v>179</v>
          </cell>
          <cell r="J109">
            <v>810076211794</v>
          </cell>
          <cell r="K109">
            <v>50810076211799</v>
          </cell>
          <cell r="L109">
            <v>30810076211795</v>
          </cell>
          <cell r="M109" t="str">
            <v/>
          </cell>
          <cell r="N109" t="str">
            <v/>
          </cell>
          <cell r="O109">
            <v>49.99</v>
          </cell>
          <cell r="P109">
            <v>24.995000000000001</v>
          </cell>
        </row>
        <row r="110">
          <cell r="F110">
            <v>989106</v>
          </cell>
          <cell r="G110" t="str">
            <v>Waves with WIW 4 pk</v>
          </cell>
          <cell r="H110" t="str">
            <v>Y</v>
          </cell>
          <cell r="I110" t="str">
            <v>180</v>
          </cell>
          <cell r="J110">
            <v>810076211800</v>
          </cell>
          <cell r="K110">
            <v>50810076211805</v>
          </cell>
          <cell r="L110">
            <v>30810076211801</v>
          </cell>
          <cell r="M110" t="str">
            <v/>
          </cell>
          <cell r="N110" t="str">
            <v/>
          </cell>
          <cell r="O110">
            <v>49.99</v>
          </cell>
          <cell r="P110">
            <v>24.995000000000001</v>
          </cell>
        </row>
        <row r="111">
          <cell r="F111" t="str">
            <v>98-9514</v>
          </cell>
          <cell r="G111" t="str">
            <v>Pencil 10pk + In Bloom Pen Diffuser Bundle</v>
          </cell>
          <cell r="H111" t="str">
            <v>N</v>
          </cell>
          <cell r="I111" t="str">
            <v>070</v>
          </cell>
          <cell r="J111">
            <v>810076210704</v>
          </cell>
          <cell r="K111">
            <v>50810076210709</v>
          </cell>
          <cell r="L111">
            <v>30810076210705</v>
          </cell>
          <cell r="M111"/>
          <cell r="N111">
            <v>24</v>
          </cell>
          <cell r="O111">
            <v>19.989999999999998</v>
          </cell>
          <cell r="P111">
            <v>9.9949999999999992</v>
          </cell>
        </row>
        <row r="112">
          <cell r="F112">
            <v>989515</v>
          </cell>
          <cell r="G112" t="str">
            <v>Pencil 10pk + Citrus Pen Diffuser Bundle</v>
          </cell>
          <cell r="H112" t="str">
            <v>Y</v>
          </cell>
          <cell r="I112" t="str">
            <v>135</v>
          </cell>
          <cell r="J112">
            <v>810076211350</v>
          </cell>
          <cell r="K112">
            <v>50810076211355</v>
          </cell>
          <cell r="L112">
            <v>30810076211351</v>
          </cell>
          <cell r="M112" t="str">
            <v/>
          </cell>
          <cell r="N112" t="str">
            <v/>
          </cell>
          <cell r="O112">
            <v>19.989999999999998</v>
          </cell>
          <cell r="P112">
            <v>9.9949999999999992</v>
          </cell>
        </row>
        <row r="113">
          <cell r="F113">
            <v>989516</v>
          </cell>
          <cell r="G113" t="str">
            <v>Pencil 10pk + Walk in the Woods Pen Diffuser Bundle</v>
          </cell>
          <cell r="H113" t="str">
            <v>Y</v>
          </cell>
          <cell r="I113" t="str">
            <v>136</v>
          </cell>
          <cell r="J113">
            <v>810076211367</v>
          </cell>
          <cell r="K113">
            <v>50810076211362</v>
          </cell>
          <cell r="L113">
            <v>30810076211368</v>
          </cell>
          <cell r="M113" t="str">
            <v/>
          </cell>
          <cell r="N113" t="str">
            <v/>
          </cell>
          <cell r="O113">
            <v>19.989999999999998</v>
          </cell>
          <cell r="P113">
            <v>9.9949999999999992</v>
          </cell>
        </row>
        <row r="114">
          <cell r="F114">
            <v>989517</v>
          </cell>
          <cell r="G114" t="str">
            <v>Sensory Journal Bundle x 3</v>
          </cell>
          <cell r="H114" t="str">
            <v>Y</v>
          </cell>
          <cell r="I114" t="str">
            <v>137</v>
          </cell>
          <cell r="J114">
            <v>810076211374</v>
          </cell>
          <cell r="K114">
            <v>50810076211379</v>
          </cell>
          <cell r="L114">
            <v>30810076211375</v>
          </cell>
          <cell r="M114" t="str">
            <v/>
          </cell>
          <cell r="N114" t="str">
            <v/>
          </cell>
          <cell r="O114">
            <v>36.99</v>
          </cell>
          <cell r="P114">
            <v>18.495000000000001</v>
          </cell>
        </row>
        <row r="115">
          <cell r="F115" t="str">
            <v>98-90015</v>
          </cell>
          <cell r="G115" t="str">
            <v>FYP Sensory Journal + Pen bundle</v>
          </cell>
          <cell r="H115" t="str">
            <v>Y</v>
          </cell>
          <cell r="I115" t="str">
            <v>065</v>
          </cell>
          <cell r="J115">
            <v>810076210650</v>
          </cell>
          <cell r="K115">
            <v>50810076210655</v>
          </cell>
          <cell r="L115">
            <v>30810076210651</v>
          </cell>
          <cell r="M115"/>
          <cell r="N115">
            <v>24</v>
          </cell>
          <cell r="O115">
            <v>22.99</v>
          </cell>
          <cell r="P115">
            <v>11.494999999999999</v>
          </cell>
        </row>
        <row r="116">
          <cell r="F116" t="str">
            <v>98-90016</v>
          </cell>
          <cell r="G116" t="str">
            <v>TYT Sensory Journal + Pen bundle</v>
          </cell>
          <cell r="H116" t="str">
            <v>Y</v>
          </cell>
          <cell r="I116" t="str">
            <v>064</v>
          </cell>
          <cell r="J116">
            <v>810076210643</v>
          </cell>
          <cell r="K116">
            <v>50810076210648</v>
          </cell>
          <cell r="L116">
            <v>30810076210644</v>
          </cell>
          <cell r="M116"/>
          <cell r="N116">
            <v>24</v>
          </cell>
          <cell r="O116">
            <v>22.99</v>
          </cell>
          <cell r="P116">
            <v>11.494999999999999</v>
          </cell>
        </row>
        <row r="117">
          <cell r="F117" t="str">
            <v>98-90017</v>
          </cell>
          <cell r="G117" t="str">
            <v>SIU Sensory Journal + Pen bundle</v>
          </cell>
          <cell r="H117" t="str">
            <v>Y</v>
          </cell>
          <cell r="I117" t="str">
            <v>063</v>
          </cell>
          <cell r="J117">
            <v>810076210636</v>
          </cell>
          <cell r="K117">
            <v>50810076210631</v>
          </cell>
          <cell r="L117">
            <v>30810076210637</v>
          </cell>
          <cell r="M117"/>
          <cell r="N117">
            <v>24</v>
          </cell>
          <cell r="O117">
            <v>22.99</v>
          </cell>
          <cell r="P117">
            <v>11.494999999999999</v>
          </cell>
        </row>
        <row r="118">
          <cell r="F118" t="str">
            <v>98-91001</v>
          </cell>
          <cell r="G118" t="str">
            <v>In Bloom Calm &amp; Focus Bundle</v>
          </cell>
          <cell r="H118" t="str">
            <v>Y</v>
          </cell>
          <cell r="I118" t="str">
            <v>053</v>
          </cell>
          <cell r="J118">
            <v>810076210537</v>
          </cell>
          <cell r="K118">
            <v>50810076210532</v>
          </cell>
          <cell r="L118">
            <v>30810076210538</v>
          </cell>
          <cell r="M118"/>
          <cell r="N118"/>
          <cell r="O118">
            <v>11.99</v>
          </cell>
          <cell r="P118">
            <v>5.9950000000000001</v>
          </cell>
        </row>
        <row r="119">
          <cell r="F119" t="str">
            <v>98-91002</v>
          </cell>
          <cell r="G119" t="str">
            <v>In Bloom Energy &amp; Joy Bundle</v>
          </cell>
          <cell r="H119" t="str">
            <v>Y</v>
          </cell>
          <cell r="I119" t="str">
            <v>054</v>
          </cell>
          <cell r="J119">
            <v>810076210544</v>
          </cell>
          <cell r="K119">
            <v>50810076210549</v>
          </cell>
          <cell r="L119">
            <v>30810076210545</v>
          </cell>
          <cell r="M119"/>
          <cell r="N119"/>
          <cell r="O119">
            <v>11.99</v>
          </cell>
          <cell r="P119">
            <v>5.9950000000000001</v>
          </cell>
        </row>
        <row r="120">
          <cell r="F120" t="str">
            <v>98-91003</v>
          </cell>
          <cell r="G120" t="str">
            <v>Citrus Grove Calm &amp; Focus Bundle</v>
          </cell>
          <cell r="H120" t="str">
            <v>Y</v>
          </cell>
          <cell r="I120" t="str">
            <v>055</v>
          </cell>
          <cell r="J120">
            <v>810076210551</v>
          </cell>
          <cell r="K120">
            <v>50810076210556</v>
          </cell>
          <cell r="L120">
            <v>30810076210552</v>
          </cell>
          <cell r="M120"/>
          <cell r="N120"/>
          <cell r="O120">
            <v>11.99</v>
          </cell>
          <cell r="P120">
            <v>5.9950000000000001</v>
          </cell>
        </row>
        <row r="121">
          <cell r="F121" t="str">
            <v>98-91004</v>
          </cell>
          <cell r="G121" t="str">
            <v>Citrus Grove Energy &amp; Joy Bundle</v>
          </cell>
          <cell r="H121" t="str">
            <v>Y</v>
          </cell>
          <cell r="I121" t="str">
            <v>056</v>
          </cell>
          <cell r="J121">
            <v>810076210568</v>
          </cell>
          <cell r="K121">
            <v>50810076210563</v>
          </cell>
          <cell r="L121">
            <v>30810076210569</v>
          </cell>
          <cell r="M121"/>
          <cell r="N121"/>
          <cell r="O121">
            <v>11.99</v>
          </cell>
          <cell r="P121">
            <v>5.9950000000000001</v>
          </cell>
        </row>
        <row r="122">
          <cell r="F122" t="str">
            <v>98-91005</v>
          </cell>
          <cell r="G122" t="str">
            <v>Walk in the Woods Calm &amp; Focus Bundle</v>
          </cell>
          <cell r="H122" t="str">
            <v>Y</v>
          </cell>
          <cell r="I122" t="str">
            <v>057</v>
          </cell>
          <cell r="J122">
            <v>810076210575</v>
          </cell>
          <cell r="K122">
            <v>50810076210570</v>
          </cell>
          <cell r="L122">
            <v>30810076210576</v>
          </cell>
          <cell r="M122"/>
          <cell r="N122"/>
          <cell r="O122">
            <v>11.99</v>
          </cell>
          <cell r="P122">
            <v>5.9950000000000001</v>
          </cell>
        </row>
        <row r="123">
          <cell r="F123" t="str">
            <v>98-91006</v>
          </cell>
          <cell r="G123" t="str">
            <v>Walk in the Woods Energy &amp; Joy Bundle</v>
          </cell>
          <cell r="H123" t="str">
            <v>Y</v>
          </cell>
          <cell r="I123" t="str">
            <v>058</v>
          </cell>
          <cell r="J123">
            <v>810076210582</v>
          </cell>
          <cell r="K123">
            <v>50810076210587</v>
          </cell>
          <cell r="L123">
            <v>30810076210583</v>
          </cell>
          <cell r="M123"/>
          <cell r="N123"/>
          <cell r="O123">
            <v>11.99</v>
          </cell>
          <cell r="P123">
            <v>5.9950000000000001</v>
          </cell>
        </row>
        <row r="124">
          <cell r="F124" t="str">
            <v>98-91007</v>
          </cell>
          <cell r="G124" t="str">
            <v>Crisp Mountain Air Calm &amp; Focus Bundle</v>
          </cell>
          <cell r="H124" t="str">
            <v>Y</v>
          </cell>
          <cell r="I124" t="str">
            <v>059</v>
          </cell>
          <cell r="J124">
            <v>810076210599</v>
          </cell>
          <cell r="K124">
            <v>50810076210594</v>
          </cell>
          <cell r="L124">
            <v>30810076210590</v>
          </cell>
          <cell r="M124"/>
          <cell r="N124"/>
          <cell r="O124">
            <v>11.99</v>
          </cell>
          <cell r="P124">
            <v>5.9950000000000001</v>
          </cell>
        </row>
        <row r="125">
          <cell r="F125" t="str">
            <v>98-91008</v>
          </cell>
          <cell r="G125" t="str">
            <v>Crisp Mountain Air Energy &amp; Joy Bundle</v>
          </cell>
          <cell r="H125" t="str">
            <v>Y</v>
          </cell>
          <cell r="I125" t="str">
            <v>060</v>
          </cell>
          <cell r="J125">
            <v>810076210605</v>
          </cell>
          <cell r="K125">
            <v>50810076210600</v>
          </cell>
          <cell r="L125">
            <v>30810076210606</v>
          </cell>
          <cell r="M125"/>
          <cell r="N125"/>
          <cell r="O125">
            <v>11.99</v>
          </cell>
          <cell r="P125">
            <v>5.9950000000000001</v>
          </cell>
        </row>
        <row r="126">
          <cell r="F126" t="str">
            <v>98-91009</v>
          </cell>
          <cell r="G126" t="str">
            <v>Spice Rush Calm &amp; Focus Bundle</v>
          </cell>
          <cell r="H126" t="str">
            <v>Y</v>
          </cell>
          <cell r="I126" t="str">
            <v>061</v>
          </cell>
          <cell r="J126">
            <v>810076210612</v>
          </cell>
          <cell r="K126">
            <v>50810076210617</v>
          </cell>
          <cell r="L126">
            <v>30810076210613</v>
          </cell>
          <cell r="M126"/>
          <cell r="N126"/>
          <cell r="O126">
            <v>11.99</v>
          </cell>
          <cell r="P126">
            <v>5.9950000000000001</v>
          </cell>
        </row>
        <row r="127">
          <cell r="F127" t="str">
            <v>98-91010</v>
          </cell>
          <cell r="G127" t="str">
            <v>Spice Rush Energy &amp; Joy Bundle</v>
          </cell>
          <cell r="H127" t="str">
            <v>Y</v>
          </cell>
          <cell r="I127" t="str">
            <v>062</v>
          </cell>
          <cell r="J127">
            <v>810076210629</v>
          </cell>
          <cell r="K127">
            <v>50810076210624</v>
          </cell>
          <cell r="L127">
            <v>30810076210620</v>
          </cell>
          <cell r="M127"/>
          <cell r="N127"/>
          <cell r="O127">
            <v>11.99</v>
          </cell>
          <cell r="P127">
            <v>5.9950000000000001</v>
          </cell>
        </row>
        <row r="128">
          <cell r="F128" t="str">
            <v>98-9200</v>
          </cell>
          <cell r="G128" t="str">
            <v>Lifelines 3 Pack Shake It Up Journals - Orignial, Meadow &amp; Garden with Tactile Cover &amp; Embossed Paper</v>
          </cell>
          <cell r="H128" t="str">
            <v>Y</v>
          </cell>
          <cell r="I128" t="str">
            <v>117</v>
          </cell>
          <cell r="J128">
            <v>810076211176</v>
          </cell>
          <cell r="K128">
            <v>50810076211171</v>
          </cell>
          <cell r="L128">
            <v>30810076211177</v>
          </cell>
          <cell r="M128"/>
          <cell r="N128">
            <v>10</v>
          </cell>
          <cell r="O128">
            <v>36.99</v>
          </cell>
          <cell r="P128">
            <v>18.495000000000001</v>
          </cell>
        </row>
        <row r="129">
          <cell r="F129" t="str">
            <v>98-95011</v>
          </cell>
          <cell r="G129" t="str">
            <v>Pen Diffuser 2-Pack Bundle - Bloom &amp; Citrus</v>
          </cell>
          <cell r="H129" t="str">
            <v>N</v>
          </cell>
          <cell r="I129" t="str">
            <v>067</v>
          </cell>
          <cell r="J129">
            <v>810076210674</v>
          </cell>
          <cell r="K129">
            <v>50810076210679</v>
          </cell>
          <cell r="L129">
            <v>30810076210675</v>
          </cell>
          <cell r="M129"/>
          <cell r="N129"/>
          <cell r="O129">
            <v>19.989999999999998</v>
          </cell>
          <cell r="P129">
            <v>9.9949999999999992</v>
          </cell>
        </row>
        <row r="130">
          <cell r="F130" t="str">
            <v>98-95012</v>
          </cell>
          <cell r="G130" t="str">
            <v>Pen Diffuser 2-Pack Bundle - Mountain &amp; Woods</v>
          </cell>
          <cell r="H130" t="str">
            <v>N</v>
          </cell>
          <cell r="I130" t="str">
            <v>068</v>
          </cell>
          <cell r="J130">
            <v>810076210681</v>
          </cell>
          <cell r="K130">
            <v>50810076210686</v>
          </cell>
          <cell r="L130">
            <v>30810076210682</v>
          </cell>
          <cell r="M130"/>
          <cell r="N130"/>
          <cell r="O130">
            <v>19.989999999999998</v>
          </cell>
          <cell r="P130">
            <v>9.9949999999999992</v>
          </cell>
        </row>
        <row r="131">
          <cell r="F131" t="str">
            <v>98-95013</v>
          </cell>
          <cell r="G131" t="str">
            <v>Pen Diffuser 2-Pack Bundle - Spice &amp; Woods</v>
          </cell>
          <cell r="H131" t="str">
            <v>N</v>
          </cell>
          <cell r="I131" t="str">
            <v>069</v>
          </cell>
          <cell r="J131">
            <v>810076210698</v>
          </cell>
          <cell r="K131">
            <v>50810076210693</v>
          </cell>
          <cell r="L131">
            <v>30810076210699</v>
          </cell>
          <cell r="M131"/>
          <cell r="N131"/>
          <cell r="O131">
            <v>19.989999999999998</v>
          </cell>
          <cell r="P131">
            <v>9.9949999999999992</v>
          </cell>
        </row>
        <row r="132">
          <cell r="F132" t="str">
            <v>98-95014</v>
          </cell>
          <cell r="G132" t="str">
            <v>Pen Diffuser CMA + Pencil Bundle</v>
          </cell>
          <cell r="H132" t="str">
            <v>Y</v>
          </cell>
          <cell r="I132" t="str">
            <v>066</v>
          </cell>
          <cell r="J132">
            <v>810076210667</v>
          </cell>
          <cell r="K132">
            <v>50810076210662</v>
          </cell>
          <cell r="L132">
            <v>30810076210668</v>
          </cell>
          <cell r="M132"/>
          <cell r="N132">
            <v>24</v>
          </cell>
          <cell r="O132">
            <v>19.989999999999998</v>
          </cell>
          <cell r="P132">
            <v>9.9949999999999992</v>
          </cell>
        </row>
        <row r="133">
          <cell r="F133" t="str">
            <v>98-9503</v>
          </cell>
          <cell r="G133" t="str">
            <v>Lifelines 2 Pack Pen Diffuser - Crisp Mountain Air &amp; Walk in the Woods - Blue/Green</v>
          </cell>
          <cell r="H133" t="str">
            <v>Y</v>
          </cell>
          <cell r="I133" t="str">
            <v>111</v>
          </cell>
          <cell r="J133">
            <v>810076211114</v>
          </cell>
          <cell r="K133">
            <v>50810076211119</v>
          </cell>
          <cell r="L133">
            <v>30810076211115</v>
          </cell>
          <cell r="M133"/>
          <cell r="N133"/>
          <cell r="O133">
            <v>18.989999999999998</v>
          </cell>
          <cell r="P133">
            <v>9.4949999999999992</v>
          </cell>
        </row>
        <row r="134">
          <cell r="F134" t="str">
            <v>98-9507</v>
          </cell>
          <cell r="G134" t="str">
            <v>Lifelines "Shake It Up" Meadow Sensory Journal - with Tactile Cover &amp; Embossed Paper + Pen bundle</v>
          </cell>
          <cell r="H134" t="str">
            <v>Y</v>
          </cell>
          <cell r="I134" t="str">
            <v>080</v>
          </cell>
          <cell r="J134">
            <v>810076210803</v>
          </cell>
          <cell r="K134">
            <v>50810076210808</v>
          </cell>
          <cell r="L134">
            <v>30810076210804</v>
          </cell>
          <cell r="M134"/>
          <cell r="N134">
            <v>24</v>
          </cell>
          <cell r="O134">
            <v>22.99</v>
          </cell>
          <cell r="P134">
            <v>11.494999999999999</v>
          </cell>
        </row>
        <row r="135">
          <cell r="F135" t="str">
            <v>98-9508</v>
          </cell>
          <cell r="G135" t="str">
            <v>Lifelines "Shake It Up" Garden Sensory Journal - with Tactile Cover &amp; Embossed Paper +  Pen bundle</v>
          </cell>
          <cell r="H135" t="str">
            <v>Y</v>
          </cell>
          <cell r="I135" t="str">
            <v>081</v>
          </cell>
          <cell r="J135">
            <v>810076210810</v>
          </cell>
          <cell r="K135">
            <v>50810076210815</v>
          </cell>
          <cell r="L135">
            <v>30810076210811</v>
          </cell>
          <cell r="M135"/>
          <cell r="N135">
            <v>24</v>
          </cell>
          <cell r="O135">
            <v>22.99</v>
          </cell>
          <cell r="P135">
            <v>11.494999999999999</v>
          </cell>
        </row>
        <row r="136">
          <cell r="F136" t="str">
            <v>98-9509</v>
          </cell>
          <cell r="G136" t="str">
            <v>Lifelines 2 Pack Pen Diffuser - Citrus Grove &amp; Crisp Mountain Air - Blue/Orange</v>
          </cell>
          <cell r="H136" t="str">
            <v>Y</v>
          </cell>
          <cell r="I136" t="str">
            <v>114</v>
          </cell>
          <cell r="J136">
            <v>810076211145</v>
          </cell>
          <cell r="K136">
            <v>50810076211140</v>
          </cell>
          <cell r="L136">
            <v>30810076211146</v>
          </cell>
          <cell r="M136"/>
          <cell r="N136"/>
          <cell r="O136">
            <v>19.989999999999998</v>
          </cell>
          <cell r="P136">
            <v>9.9949999999999992</v>
          </cell>
        </row>
        <row r="137">
          <cell r="F137" t="str">
            <v>98-9510</v>
          </cell>
          <cell r="G137" t="str">
            <v>Lifelines 2 Pack Pen Diffuser - In Bloom &amp; Walk in the Woods - Purple/Green</v>
          </cell>
          <cell r="H137" t="str">
            <v>Y</v>
          </cell>
          <cell r="I137" t="str">
            <v>112</v>
          </cell>
          <cell r="J137">
            <v>810076211121</v>
          </cell>
          <cell r="K137">
            <v>50810076211126</v>
          </cell>
          <cell r="L137">
            <v>30810076211122</v>
          </cell>
          <cell r="M137"/>
          <cell r="N137"/>
          <cell r="O137">
            <v>19.989999999999998</v>
          </cell>
          <cell r="P137">
            <v>9.9949999999999992</v>
          </cell>
        </row>
        <row r="138">
          <cell r="F138" t="str">
            <v>98-9511</v>
          </cell>
          <cell r="G138" t="str">
            <v>Lifelines 2 Pack Pen Diffuser - In Bloom &amp; Crisp Mountain Air - Purple/Blue</v>
          </cell>
          <cell r="H138" t="str">
            <v>Y</v>
          </cell>
          <cell r="I138" t="str">
            <v>113</v>
          </cell>
          <cell r="J138">
            <v>810076211138</v>
          </cell>
          <cell r="K138">
            <v>50810076211133</v>
          </cell>
          <cell r="L138">
            <v>30810076211139</v>
          </cell>
          <cell r="M138"/>
          <cell r="N138"/>
          <cell r="O138">
            <v>19.989999999999998</v>
          </cell>
          <cell r="P138">
            <v>9.9949999999999992</v>
          </cell>
        </row>
        <row r="139">
          <cell r="F139" t="str">
            <v>LL-98-3116</v>
          </cell>
          <cell r="G139" t="str">
            <v>Lifelines 2 Pack Pen Diffuser - In Bloom &amp; In Bloom - Purple/Purple</v>
          </cell>
          <cell r="H139" t="str">
            <v>N</v>
          </cell>
          <cell r="I139" t="str">
            <v>256</v>
          </cell>
          <cell r="J139">
            <v>810076212562</v>
          </cell>
          <cell r="K139">
            <v>50810076212567</v>
          </cell>
          <cell r="L139">
            <v>30810076212563</v>
          </cell>
          <cell r="M139"/>
          <cell r="N139"/>
          <cell r="O139">
            <v>19.989999999999998</v>
          </cell>
          <cell r="P139">
            <v>9.9949999999999992</v>
          </cell>
        </row>
        <row r="140">
          <cell r="F140" t="str">
            <v>LL-98-3117</v>
          </cell>
          <cell r="G140" t="str">
            <v>Lifelines 2 Pack Pen Diffuser - Crisp Mountain Air &amp; Crisp Mountain Air - Blue/Blue</v>
          </cell>
          <cell r="H140" t="str">
            <v>N</v>
          </cell>
          <cell r="I140" t="str">
            <v>257</v>
          </cell>
          <cell r="J140">
            <v>810076212579</v>
          </cell>
          <cell r="K140">
            <v>50810076212574</v>
          </cell>
          <cell r="L140">
            <v>30810076212570</v>
          </cell>
          <cell r="M140"/>
          <cell r="N140"/>
          <cell r="O140">
            <v>19.989999999999998</v>
          </cell>
          <cell r="P140">
            <v>9.9949999999999992</v>
          </cell>
        </row>
        <row r="141">
          <cell r="F141" t="str">
            <v>LL-98-3118</v>
          </cell>
          <cell r="G141" t="str">
            <v>Lifelines 2 Pack Pen Diffuser - Citrus Grove &amp; Citrus Grove - Orange/Orange</v>
          </cell>
          <cell r="H141" t="str">
            <v>N</v>
          </cell>
          <cell r="I141" t="str">
            <v>258</v>
          </cell>
          <cell r="J141">
            <v>810076212586</v>
          </cell>
          <cell r="K141">
            <v>50810076212581</v>
          </cell>
          <cell r="L141">
            <v>30810076212587</v>
          </cell>
          <cell r="M141"/>
          <cell r="N141"/>
          <cell r="O141">
            <v>19.989999999999998</v>
          </cell>
          <cell r="P141">
            <v>9.9949999999999992</v>
          </cell>
        </row>
        <row r="142">
          <cell r="F142" t="str">
            <v>LL-98-3128</v>
          </cell>
          <cell r="G142" t="str">
            <v>Lifelines 3 Pack Pen Diffuser - In Bloom / Citrus Grove / Walk in the Woods</v>
          </cell>
          <cell r="H142" t="str">
            <v>Y</v>
          </cell>
          <cell r="I142" t="str">
            <v>271</v>
          </cell>
          <cell r="J142">
            <v>810076212715</v>
          </cell>
          <cell r="K142">
            <v>50810076212710</v>
          </cell>
          <cell r="L142">
            <v>30810076212716</v>
          </cell>
          <cell r="M142"/>
          <cell r="N142"/>
        </row>
        <row r="143">
          <cell r="F143" t="str">
            <v>LL-98-3129</v>
          </cell>
          <cell r="G143" t="str">
            <v>Lifelines 3 Pack Pen Diffuser - Herbal / Crisp Mountain Air / Spice Rush</v>
          </cell>
          <cell r="H143" t="str">
            <v>Y</v>
          </cell>
          <cell r="I143" t="str">
            <v>272</v>
          </cell>
          <cell r="J143">
            <v>810076212722</v>
          </cell>
          <cell r="K143">
            <v>50810076212727</v>
          </cell>
          <cell r="L143">
            <v>30810076212723</v>
          </cell>
          <cell r="M143"/>
          <cell r="N143"/>
        </row>
        <row r="144">
          <cell r="F144" t="str">
            <v>LL-98-3130</v>
          </cell>
          <cell r="G144" t="str">
            <v>Lifelines 3 Pack Pen Diffuser - Coastal Escape / Peach Harvest / Lush Garden</v>
          </cell>
          <cell r="H144" t="str">
            <v>Y</v>
          </cell>
          <cell r="I144" t="str">
            <v>273</v>
          </cell>
          <cell r="J144">
            <v>810076212739</v>
          </cell>
          <cell r="K144">
            <v>50810076212734</v>
          </cell>
          <cell r="L144">
            <v>30810076212730</v>
          </cell>
          <cell r="M144"/>
          <cell r="N144"/>
        </row>
        <row r="145">
          <cell r="F145" t="str">
            <v>98-9512</v>
          </cell>
          <cell r="G145" t="str">
            <v>Lifelines FYP Sensory Journal + Pen bundle - WITW</v>
          </cell>
          <cell r="H145" t="str">
            <v>Y</v>
          </cell>
          <cell r="I145" t="str">
            <v>124</v>
          </cell>
          <cell r="J145">
            <v>810076211244</v>
          </cell>
          <cell r="K145">
            <v>50810076211249</v>
          </cell>
          <cell r="L145">
            <v>30810076211245</v>
          </cell>
          <cell r="M145"/>
          <cell r="N145">
            <v>24</v>
          </cell>
          <cell r="O145">
            <v>22.99</v>
          </cell>
          <cell r="P145">
            <v>11.494999999999999</v>
          </cell>
        </row>
        <row r="146">
          <cell r="F146" t="str">
            <v>98-9513</v>
          </cell>
          <cell r="G146" t="str">
            <v>Lifelines TYT Sensory Journal + Pen bundle - Citrus</v>
          </cell>
          <cell r="H146" t="str">
            <v>Y</v>
          </cell>
          <cell r="I146" t="str">
            <v>125</v>
          </cell>
          <cell r="J146">
            <v>810076211251</v>
          </cell>
          <cell r="K146">
            <v>50810076211256</v>
          </cell>
          <cell r="L146">
            <v>30810076211252</v>
          </cell>
          <cell r="M146"/>
          <cell r="N146">
            <v>24</v>
          </cell>
          <cell r="O146">
            <v>22.99</v>
          </cell>
          <cell r="P146">
            <v>11.494999999999999</v>
          </cell>
        </row>
        <row r="147">
          <cell r="F147" t="str">
            <v>99-9100</v>
          </cell>
          <cell r="G147" t="str">
            <v>Lifelines Waves Ultrasonic Diffuser + Discovery Kit</v>
          </cell>
          <cell r="H147" t="str">
            <v>Y</v>
          </cell>
          <cell r="I147" t="str">
            <v>079</v>
          </cell>
          <cell r="J147">
            <v>810076210797</v>
          </cell>
          <cell r="K147">
            <v>50810076210792</v>
          </cell>
          <cell r="L147">
            <v>30810076210798</v>
          </cell>
          <cell r="M147"/>
          <cell r="N147"/>
          <cell r="O147">
            <v>49.99</v>
          </cell>
          <cell r="P147">
            <v>24.995000000000001</v>
          </cell>
        </row>
        <row r="148">
          <cell r="F148">
            <v>989524</v>
          </cell>
          <cell r="G148" t="str">
            <v>Deluxe Sensory Writing Bundle</v>
          </cell>
          <cell r="H148" t="str">
            <v>N</v>
          </cell>
          <cell r="I148" t="str">
            <v>176</v>
          </cell>
          <cell r="J148">
            <v>810076211763</v>
          </cell>
          <cell r="K148">
            <v>50810076211768</v>
          </cell>
          <cell r="L148">
            <v>30810076211764</v>
          </cell>
          <cell r="M148" t="str">
            <v/>
          </cell>
          <cell r="N148" t="str">
            <v/>
          </cell>
          <cell r="O148">
            <v>49.99</v>
          </cell>
          <cell r="P148">
            <v>24.995000000000001</v>
          </cell>
        </row>
        <row r="149">
          <cell r="F149" t="str">
            <v>X</v>
          </cell>
          <cell r="G149" t="str">
            <v>Lifelines Bath &amp; Shower Spa Bundle</v>
          </cell>
          <cell r="H149" t="str">
            <v>N</v>
          </cell>
          <cell r="I149" t="str">
            <v/>
          </cell>
          <cell r="J149" t="str">
            <v/>
          </cell>
          <cell r="K149" t="str">
            <v/>
          </cell>
          <cell r="L149" t="str">
            <v/>
          </cell>
          <cell r="M149" t="str">
            <v>Inner</v>
          </cell>
          <cell r="N149" t="str">
            <v>Master</v>
          </cell>
          <cell r="O149">
            <v>49.99</v>
          </cell>
          <cell r="P149">
            <v>24.995000000000001</v>
          </cell>
        </row>
        <row r="150">
          <cell r="F150">
            <v>110457</v>
          </cell>
          <cell r="G150" t="str">
            <v>Pure Joy Discovery Set (5pk)</v>
          </cell>
          <cell r="H150" t="str">
            <v>Y</v>
          </cell>
          <cell r="I150" t="str">
            <v>195</v>
          </cell>
          <cell r="J150">
            <v>810076211954</v>
          </cell>
          <cell r="K150">
            <v>50810076211959</v>
          </cell>
          <cell r="L150">
            <v>30810076211955</v>
          </cell>
          <cell r="M150" t="str">
            <v/>
          </cell>
          <cell r="N150" t="str">
            <v/>
          </cell>
          <cell r="O150">
            <v>29.99</v>
          </cell>
          <cell r="P150">
            <v>14.994999999999999</v>
          </cell>
        </row>
        <row r="151">
          <cell r="F151">
            <v>983063</v>
          </cell>
          <cell r="G151" t="str">
            <v>Pure Joy Set + EDPD (Virtual Bundle)</v>
          </cell>
          <cell r="H151" t="str">
            <v>N</v>
          </cell>
          <cell r="I151" t="str">
            <v/>
          </cell>
          <cell r="J151" t="str">
            <v/>
          </cell>
          <cell r="K151" t="str">
            <v/>
          </cell>
          <cell r="L151" t="str">
            <v/>
          </cell>
          <cell r="M151"/>
          <cell r="N151"/>
          <cell r="O151">
            <v>42.98</v>
          </cell>
          <cell r="P151">
            <v>21.49</v>
          </cell>
        </row>
        <row r="152">
          <cell r="F152" t="str">
            <v>11-1102</v>
          </cell>
          <cell r="G152" t="str">
            <v>Waves Ultrasonic Diffuser (300ml) - Cascading Mist and Light plus Essential Oil Blend</v>
          </cell>
          <cell r="H152" t="str">
            <v>Y</v>
          </cell>
          <cell r="I152" t="str">
            <v>021</v>
          </cell>
          <cell r="J152">
            <v>810076210216</v>
          </cell>
          <cell r="K152">
            <v>50810076210211</v>
          </cell>
          <cell r="L152">
            <v>30810076210217</v>
          </cell>
          <cell r="M152"/>
          <cell r="N152"/>
          <cell r="O152">
            <v>29.99</v>
          </cell>
          <cell r="P152">
            <v>14.994999999999999</v>
          </cell>
        </row>
        <row r="153">
          <cell r="F153" t="str">
            <v>11-1107</v>
          </cell>
          <cell r="G153" t="str">
            <v>Waves Ultrasonic Diffuser- 200mL</v>
          </cell>
          <cell r="H153" t="str">
            <v>Y</v>
          </cell>
          <cell r="I153" t="str">
            <v>046</v>
          </cell>
          <cell r="J153">
            <v>810076210469</v>
          </cell>
          <cell r="K153">
            <v>50810076210464</v>
          </cell>
          <cell r="L153">
            <v>30810076210460</v>
          </cell>
          <cell r="M153">
            <v>3</v>
          </cell>
          <cell r="N153">
            <v>12</v>
          </cell>
          <cell r="O153">
            <v>29.99</v>
          </cell>
          <cell r="P153">
            <v>14.994999999999999</v>
          </cell>
        </row>
        <row r="154">
          <cell r="F154" t="str">
            <v>11-1501</v>
          </cell>
          <cell r="G154" t="str">
            <v>Shower Diffuser</v>
          </cell>
          <cell r="H154" t="str">
            <v>Y</v>
          </cell>
          <cell r="I154" t="str">
            <v>034</v>
          </cell>
          <cell r="J154">
            <v>810076210346</v>
          </cell>
          <cell r="K154">
            <v>50810076210341</v>
          </cell>
          <cell r="L154">
            <v>30810076210347</v>
          </cell>
          <cell r="M154">
            <v>6</v>
          </cell>
          <cell r="N154">
            <v>12</v>
          </cell>
          <cell r="O154">
            <v>29.99</v>
          </cell>
          <cell r="P154">
            <v>14.994999999999999</v>
          </cell>
        </row>
        <row r="155">
          <cell r="F155" t="str">
            <v>LL-11-1108</v>
          </cell>
          <cell r="G155" t="str">
            <v>Cloud Diffuser</v>
          </cell>
          <cell r="H155" t="str">
            <v>Y</v>
          </cell>
          <cell r="I155" t="str">
            <v>170</v>
          </cell>
          <cell r="J155">
            <v>810076211701</v>
          </cell>
          <cell r="K155">
            <v>50810076211706</v>
          </cell>
          <cell r="L155">
            <v>30810076211702</v>
          </cell>
          <cell r="M155">
            <v>3</v>
          </cell>
          <cell r="N155">
            <v>12</v>
          </cell>
          <cell r="O155">
            <v>29.99</v>
          </cell>
          <cell r="P155">
            <v>14.994999999999999</v>
          </cell>
        </row>
        <row r="156">
          <cell r="F156" t="str">
            <v>11-1103</v>
          </cell>
          <cell r="G156" t="str">
            <v>Stacking Stones Diffuser</v>
          </cell>
          <cell r="H156" t="str">
            <v>Y</v>
          </cell>
          <cell r="I156" t="str">
            <v>085</v>
          </cell>
          <cell r="J156">
            <v>810076210858</v>
          </cell>
          <cell r="K156">
            <v>50810076210853</v>
          </cell>
          <cell r="L156">
            <v>30810076210859</v>
          </cell>
          <cell r="M156">
            <v>3</v>
          </cell>
          <cell r="N156">
            <v>12</v>
          </cell>
          <cell r="O156">
            <v>39.99</v>
          </cell>
          <cell r="P156">
            <v>19.995000000000001</v>
          </cell>
        </row>
        <row r="157">
          <cell r="F157" t="str">
            <v>LL-14-3174</v>
          </cell>
          <cell r="G157" t="str">
            <v>Plant Diffuser -  Grass Plant - Bubble White  - AMZ - Coconut Hibiscus</v>
          </cell>
          <cell r="H157" t="str">
            <v>Y</v>
          </cell>
          <cell r="I157" t="str">
            <v>319</v>
          </cell>
          <cell r="J157">
            <v>810076213194</v>
          </cell>
          <cell r="K157">
            <v>50810076213199</v>
          </cell>
          <cell r="L157">
            <v>30810076213195</v>
          </cell>
          <cell r="M157">
            <v>3</v>
          </cell>
          <cell r="N157">
            <v>12</v>
          </cell>
          <cell r="O157">
            <v>39.99</v>
          </cell>
          <cell r="P157">
            <v>19.995000000000001</v>
          </cell>
        </row>
        <row r="158">
          <cell r="F158" t="str">
            <v>LL-14-3175</v>
          </cell>
          <cell r="G158" t="str">
            <v>Plant Diffuser - Succulent - Two Toned - AMZ - Peach Velvet</v>
          </cell>
          <cell r="H158" t="str">
            <v>Y</v>
          </cell>
          <cell r="I158" t="str">
            <v>320</v>
          </cell>
          <cell r="J158">
            <v>810076213200</v>
          </cell>
          <cell r="K158">
            <v>50810076213205</v>
          </cell>
          <cell r="L158">
            <v>30810076213201</v>
          </cell>
          <cell r="M158">
            <v>3</v>
          </cell>
          <cell r="N158">
            <v>12</v>
          </cell>
          <cell r="O158">
            <v>39.99</v>
          </cell>
          <cell r="P158">
            <v>19.995000000000001</v>
          </cell>
        </row>
        <row r="159">
          <cell r="F159" t="str">
            <v>LL-14-3176</v>
          </cell>
          <cell r="G159" t="str">
            <v>Plant Diffuser - Boxwood Plant - Ribbed Gray - AMZ - Desert Winds</v>
          </cell>
          <cell r="H159" t="str">
            <v>Y</v>
          </cell>
          <cell r="I159" t="str">
            <v>321</v>
          </cell>
          <cell r="J159">
            <v>810076213217</v>
          </cell>
          <cell r="K159">
            <v>50810076213212</v>
          </cell>
          <cell r="L159">
            <v>30810076213218</v>
          </cell>
          <cell r="M159">
            <v>3</v>
          </cell>
          <cell r="N159">
            <v>12</v>
          </cell>
          <cell r="O159">
            <v>39.99</v>
          </cell>
          <cell r="P159">
            <v>19.995000000000001</v>
          </cell>
        </row>
        <row r="160">
          <cell r="F160" t="str">
            <v>LL-14-3173</v>
          </cell>
          <cell r="G160" t="str">
            <v>DIFFUSER, LED, FROSTED CREAM - 2x CW - Vanilla Tangerine</v>
          </cell>
          <cell r="H160" t="str">
            <v>Y</v>
          </cell>
          <cell r="I160" t="str">
            <v>318</v>
          </cell>
          <cell r="J160">
            <v>810076213187</v>
          </cell>
          <cell r="K160">
            <v>50810076213182</v>
          </cell>
          <cell r="L160">
            <v>30810076213188</v>
          </cell>
          <cell r="M160">
            <v>3</v>
          </cell>
          <cell r="N160">
            <v>12</v>
          </cell>
          <cell r="O160">
            <v>39.99</v>
          </cell>
          <cell r="P160">
            <v>19.995000000000001</v>
          </cell>
        </row>
        <row r="161">
          <cell r="F161" t="str">
            <v>LL-14-3177</v>
          </cell>
          <cell r="G161" t="str">
            <v>DIFFUSER, LED, FROSTED CHARCOAL - 2x CW - Desert Winds</v>
          </cell>
          <cell r="H161" t="str">
            <v>Y</v>
          </cell>
          <cell r="I161" t="str">
            <v>322</v>
          </cell>
          <cell r="J161">
            <v>810076213224</v>
          </cell>
          <cell r="K161">
            <v>50810076213229</v>
          </cell>
          <cell r="L161">
            <v>30810076213225</v>
          </cell>
          <cell r="M161">
            <v>3</v>
          </cell>
          <cell r="N161">
            <v>12</v>
          </cell>
          <cell r="O161">
            <v>39.99</v>
          </cell>
          <cell r="P161">
            <v>19.995000000000001</v>
          </cell>
        </row>
        <row r="162">
          <cell r="F162" t="str">
            <v>LL-14-3178</v>
          </cell>
          <cell r="G162" t="str">
            <v>DIFFUSER, LED, MARBLE - 2x CW - Desert Winds</v>
          </cell>
          <cell r="H162" t="str">
            <v>Y</v>
          </cell>
          <cell r="I162" t="str">
            <v>323</v>
          </cell>
          <cell r="J162">
            <v>810076213231</v>
          </cell>
          <cell r="K162">
            <v>50810076213236</v>
          </cell>
          <cell r="L162">
            <v>30810076213232</v>
          </cell>
          <cell r="M162">
            <v>3</v>
          </cell>
          <cell r="N162">
            <v>12</v>
          </cell>
          <cell r="O162">
            <v>39.99</v>
          </cell>
          <cell r="P162">
            <v>19.995000000000001</v>
          </cell>
        </row>
        <row r="163">
          <cell r="F163" t="str">
            <v>LL-14-3179</v>
          </cell>
          <cell r="G163" t="str">
            <v>DIFFUSER, LED, BUBBLE CREAM - 2x CW - Coconut Hisbiscus</v>
          </cell>
          <cell r="H163" t="str">
            <v>Y</v>
          </cell>
          <cell r="I163" t="str">
            <v>324</v>
          </cell>
          <cell r="J163">
            <v>810076213248</v>
          </cell>
          <cell r="K163">
            <v>50810076213243</v>
          </cell>
          <cell r="L163">
            <v>30810076213249</v>
          </cell>
          <cell r="M163">
            <v>3</v>
          </cell>
          <cell r="N163">
            <v>12</v>
          </cell>
          <cell r="O163">
            <v>39.99</v>
          </cell>
          <cell r="P163">
            <v>19.995000000000001</v>
          </cell>
        </row>
        <row r="164">
          <cell r="F164" t="str">
            <v>LL-14-3256</v>
          </cell>
          <cell r="G164" t="str">
            <v>DIFFUSER, LED, BUBBLE BLUE - 2x CW - Salted Coconut</v>
          </cell>
          <cell r="H164" t="str">
            <v>Y</v>
          </cell>
          <cell r="I164" t="str">
            <v>433</v>
          </cell>
          <cell r="J164">
            <v>810076214337</v>
          </cell>
          <cell r="K164">
            <v>50810076214332</v>
          </cell>
          <cell r="L164">
            <v>30810076214338</v>
          </cell>
          <cell r="M164">
            <v>3</v>
          </cell>
          <cell r="N164">
            <v>12</v>
          </cell>
          <cell r="O164">
            <v>39.99</v>
          </cell>
          <cell r="P164">
            <v>19.995000000000001</v>
          </cell>
        </row>
        <row r="165">
          <cell r="F165" t="str">
            <v>LL-14-3180</v>
          </cell>
          <cell r="G165" t="str">
            <v>DIFFUSER, LED, BUBBLE GREEN - 2x CW - Peach Velvet</v>
          </cell>
          <cell r="H165" t="str">
            <v>Y</v>
          </cell>
          <cell r="I165" t="str">
            <v>325</v>
          </cell>
          <cell r="J165">
            <v>810076213255</v>
          </cell>
          <cell r="K165">
            <v>50810076213250</v>
          </cell>
          <cell r="L165">
            <v>30810076213256</v>
          </cell>
          <cell r="M165">
            <v>3</v>
          </cell>
          <cell r="N165">
            <v>12</v>
          </cell>
          <cell r="O165">
            <v>39.99</v>
          </cell>
          <cell r="P165">
            <v>19.995000000000001</v>
          </cell>
        </row>
        <row r="166">
          <cell r="F166" t="str">
            <v>LL-14-3181</v>
          </cell>
          <cell r="G166" t="str">
            <v>DIFFUSER, LED, RIBBED PINK - 2x CW - Peach Velvet</v>
          </cell>
          <cell r="H166" t="str">
            <v>Y</v>
          </cell>
          <cell r="I166" t="str">
            <v>326</v>
          </cell>
          <cell r="J166">
            <v>810076213262</v>
          </cell>
          <cell r="K166">
            <v>50810076213267</v>
          </cell>
          <cell r="L166">
            <v>30810076213263</v>
          </cell>
          <cell r="M166">
            <v>3</v>
          </cell>
          <cell r="N166">
            <v>12</v>
          </cell>
          <cell r="O166">
            <v>39.99</v>
          </cell>
          <cell r="P166">
            <v>19.995000000000001</v>
          </cell>
        </row>
        <row r="167">
          <cell r="F167" t="str">
            <v>LL-14-3182</v>
          </cell>
          <cell r="G167" t="str">
            <v>DIFFUSER, LED, RIBBED OLIVE - 2x CW - Coconut Hisbiscus</v>
          </cell>
          <cell r="H167" t="str">
            <v>Y</v>
          </cell>
          <cell r="I167" t="str">
            <v>327</v>
          </cell>
          <cell r="J167">
            <v>810076213279</v>
          </cell>
          <cell r="K167">
            <v>50810076213274</v>
          </cell>
          <cell r="L167">
            <v>30810076213270</v>
          </cell>
          <cell r="M167">
            <v>3</v>
          </cell>
          <cell r="N167">
            <v>12</v>
          </cell>
          <cell r="O167">
            <v>39.99</v>
          </cell>
          <cell r="P167">
            <v>19.995000000000001</v>
          </cell>
        </row>
        <row r="168">
          <cell r="F168" t="str">
            <v>LL-14-3378</v>
          </cell>
          <cell r="G168" t="str">
            <v>DIFFUSER, LED, RIBBED OLIVE - FALL 2x ClickWicks</v>
          </cell>
          <cell r="H168" t="str">
            <v>Y</v>
          </cell>
          <cell r="I168" t="str">
            <v>575</v>
          </cell>
          <cell r="J168">
            <v>810076215754</v>
          </cell>
          <cell r="K168">
            <v>50810076215759</v>
          </cell>
          <cell r="L168">
            <v>30810076215755</v>
          </cell>
          <cell r="M168">
            <v>3</v>
          </cell>
          <cell r="N168">
            <v>12</v>
          </cell>
          <cell r="O168">
            <v>39.99</v>
          </cell>
          <cell r="P168">
            <v>19.995000000000001</v>
          </cell>
        </row>
        <row r="169">
          <cell r="F169" t="str">
            <v>LL-14-3183</v>
          </cell>
          <cell r="G169" t="str">
            <v>DIFFUSER, LED, FROSTED CHARCOAL - WINTER 2x ClickWicks</v>
          </cell>
          <cell r="H169" t="str">
            <v>Y</v>
          </cell>
          <cell r="I169" t="str">
            <v>328</v>
          </cell>
          <cell r="J169">
            <v>810076213286</v>
          </cell>
          <cell r="K169">
            <v>50810076213281</v>
          </cell>
          <cell r="L169">
            <v>30810076213287</v>
          </cell>
          <cell r="M169">
            <v>3</v>
          </cell>
          <cell r="N169">
            <v>12</v>
          </cell>
          <cell r="O169">
            <v>39.99</v>
          </cell>
          <cell r="P169">
            <v>19.995000000000001</v>
          </cell>
        </row>
        <row r="170">
          <cell r="F170" t="str">
            <v>LL-14-3305</v>
          </cell>
          <cell r="G170" t="str">
            <v>DIFFUSER, LED, Frosted Green - WINTER 2x ClickWicks</v>
          </cell>
          <cell r="H170" t="str">
            <v>Y</v>
          </cell>
          <cell r="I170" t="str">
            <v>492</v>
          </cell>
          <cell r="J170">
            <v>810076214924</v>
          </cell>
          <cell r="K170">
            <v>50810076214929</v>
          </cell>
          <cell r="L170">
            <v>30810076214925</v>
          </cell>
          <cell r="M170">
            <v>3</v>
          </cell>
          <cell r="N170">
            <v>12</v>
          </cell>
          <cell r="O170">
            <v>39.99</v>
          </cell>
          <cell r="P170">
            <v>19.995000000000001</v>
          </cell>
        </row>
        <row r="171">
          <cell r="F171" t="str">
            <v>LL-98-9220</v>
          </cell>
          <cell r="G171" t="str">
            <v>Frosted Cream Candle + 4 ClickWick Oils</v>
          </cell>
          <cell r="H171" t="str">
            <v>Y</v>
          </cell>
          <cell r="I171" t="str">
            <v>131</v>
          </cell>
          <cell r="J171">
            <v>810076211312</v>
          </cell>
          <cell r="K171">
            <v>50810076211317</v>
          </cell>
          <cell r="L171">
            <v>30810076211313</v>
          </cell>
          <cell r="M171">
            <v>3</v>
          </cell>
          <cell r="N171">
            <v>12</v>
          </cell>
          <cell r="O171">
            <v>49.99</v>
          </cell>
          <cell r="P171">
            <v>24.995000000000001</v>
          </cell>
        </row>
        <row r="172">
          <cell r="F172" t="str">
            <v>11-1608</v>
          </cell>
          <cell r="G172" t="str">
            <v xml:space="preserve">Plant Diffuser -  Grass Plant - Bubble White </v>
          </cell>
          <cell r="H172" t="str">
            <v>Y</v>
          </cell>
          <cell r="I172" t="str">
            <v>093</v>
          </cell>
          <cell r="J172">
            <v>810076210933</v>
          </cell>
          <cell r="K172">
            <v>50810076210938</v>
          </cell>
          <cell r="L172">
            <v>30810076210934</v>
          </cell>
          <cell r="M172">
            <v>3</v>
          </cell>
          <cell r="N172">
            <v>12</v>
          </cell>
          <cell r="O172">
            <v>29.99</v>
          </cell>
          <cell r="P172">
            <v>14.994999999999999</v>
          </cell>
        </row>
        <row r="173">
          <cell r="F173" t="str">
            <v>11-1609</v>
          </cell>
          <cell r="G173" t="str">
            <v>Plant Diffuser - Succulent - Two Toned</v>
          </cell>
          <cell r="H173" t="str">
            <v>Y</v>
          </cell>
          <cell r="I173" t="str">
            <v>094</v>
          </cell>
          <cell r="J173">
            <v>810076210940</v>
          </cell>
          <cell r="K173">
            <v>50810076210945</v>
          </cell>
          <cell r="L173">
            <v>30810076210941</v>
          </cell>
          <cell r="M173">
            <v>3</v>
          </cell>
          <cell r="N173">
            <v>12</v>
          </cell>
          <cell r="O173">
            <v>29.99</v>
          </cell>
          <cell r="P173">
            <v>14.994999999999999</v>
          </cell>
        </row>
        <row r="174">
          <cell r="F174" t="str">
            <v>11-1611</v>
          </cell>
          <cell r="G174" t="str">
            <v>Plant Diffuser - Boxwood Plant - Ribbed Gray</v>
          </cell>
          <cell r="H174" t="str">
            <v>Y</v>
          </cell>
          <cell r="I174" t="str">
            <v>096</v>
          </cell>
          <cell r="J174">
            <v>810076210964</v>
          </cell>
          <cell r="K174">
            <v>50810076210969</v>
          </cell>
          <cell r="L174">
            <v>30810076210965</v>
          </cell>
          <cell r="M174">
            <v>3</v>
          </cell>
          <cell r="N174">
            <v>12</v>
          </cell>
          <cell r="O174">
            <v>29.99</v>
          </cell>
          <cell r="P174">
            <v>14.994999999999999</v>
          </cell>
        </row>
        <row r="175">
          <cell r="F175" t="str">
            <v>11-1603</v>
          </cell>
          <cell r="G175" t="str">
            <v>DIFFUSER, LED,Frosted Glass (Cream)</v>
          </cell>
          <cell r="H175" t="str">
            <v>Y</v>
          </cell>
          <cell r="I175" t="str">
            <v>086</v>
          </cell>
          <cell r="J175">
            <v>810076210865</v>
          </cell>
          <cell r="K175">
            <v>50810076210860</v>
          </cell>
          <cell r="L175">
            <v>30810076210866</v>
          </cell>
          <cell r="M175">
            <v>3</v>
          </cell>
          <cell r="N175">
            <v>12</v>
          </cell>
          <cell r="O175">
            <v>29.99</v>
          </cell>
          <cell r="P175">
            <v>14.994999999999999</v>
          </cell>
        </row>
        <row r="176">
          <cell r="F176" t="str">
            <v>11-1612</v>
          </cell>
          <cell r="G176" t="str">
            <v>DIFFUSER, LED, Frosted Glass (Charcoal)</v>
          </cell>
          <cell r="H176" t="str">
            <v>Y</v>
          </cell>
          <cell r="I176" t="str">
            <v>087</v>
          </cell>
          <cell r="J176">
            <v>810076210872</v>
          </cell>
          <cell r="K176">
            <v>50810076210877</v>
          </cell>
          <cell r="L176">
            <v>30810076210873</v>
          </cell>
          <cell r="M176">
            <v>3</v>
          </cell>
          <cell r="N176">
            <v>12</v>
          </cell>
          <cell r="O176">
            <v>29.99</v>
          </cell>
          <cell r="P176">
            <v>14.994999999999999</v>
          </cell>
        </row>
        <row r="177">
          <cell r="F177" t="str">
            <v>11-1616</v>
          </cell>
          <cell r="G177" t="str">
            <v>DIFFUSER, LED, Marble</v>
          </cell>
          <cell r="H177" t="str">
            <v>Y</v>
          </cell>
          <cell r="I177" t="str">
            <v>091</v>
          </cell>
          <cell r="J177">
            <v>810076210919</v>
          </cell>
          <cell r="K177">
            <v>50810076210914</v>
          </cell>
          <cell r="L177">
            <v>30810076210910</v>
          </cell>
          <cell r="M177"/>
          <cell r="N177"/>
          <cell r="O177">
            <v>29.99</v>
          </cell>
          <cell r="P177">
            <v>14.994999999999999</v>
          </cell>
        </row>
        <row r="178">
          <cell r="F178" t="str">
            <v>LL-14-3088</v>
          </cell>
          <cell r="G178" t="str">
            <v>DIFFUSER, LED, Marble (HERBAL OIL)</v>
          </cell>
          <cell r="H178" t="str">
            <v>Y</v>
          </cell>
          <cell r="I178" t="str">
            <v>220</v>
          </cell>
          <cell r="J178">
            <v>810076212203</v>
          </cell>
          <cell r="K178">
            <v>50810076212208</v>
          </cell>
          <cell r="L178">
            <v>30810076212204</v>
          </cell>
          <cell r="M178">
            <v>3</v>
          </cell>
          <cell r="N178">
            <v>12</v>
          </cell>
          <cell r="O178">
            <v>29.99</v>
          </cell>
          <cell r="P178">
            <v>14.994999999999999</v>
          </cell>
        </row>
        <row r="179">
          <cell r="F179" t="str">
            <v>11-1617</v>
          </cell>
          <cell r="G179" t="str">
            <v>DIFFUSER, LED,Bubble (Cream)</v>
          </cell>
          <cell r="H179" t="str">
            <v>Y</v>
          </cell>
          <cell r="I179" t="str">
            <v>092</v>
          </cell>
          <cell r="J179">
            <v>810076210926</v>
          </cell>
          <cell r="K179">
            <v>50810076210921</v>
          </cell>
          <cell r="L179">
            <v>30810076210927</v>
          </cell>
          <cell r="M179">
            <v>3</v>
          </cell>
          <cell r="N179">
            <v>12</v>
          </cell>
          <cell r="O179">
            <v>29.99</v>
          </cell>
          <cell r="P179">
            <v>14.994999999999999</v>
          </cell>
        </row>
        <row r="180">
          <cell r="F180" t="str">
            <v>11-1619</v>
          </cell>
          <cell r="G180" t="str">
            <v>DIFFUSER, LED, Bubble (Green)</v>
          </cell>
          <cell r="H180" t="str">
            <v>Y</v>
          </cell>
          <cell r="I180" t="str">
            <v>118</v>
          </cell>
          <cell r="J180">
            <v>810076211183</v>
          </cell>
          <cell r="K180">
            <v>50810076211188</v>
          </cell>
          <cell r="L180">
            <v>30810076211184</v>
          </cell>
          <cell r="M180">
            <v>3</v>
          </cell>
          <cell r="N180">
            <v>12</v>
          </cell>
          <cell r="O180">
            <v>29.99</v>
          </cell>
          <cell r="P180">
            <v>14.994999999999999</v>
          </cell>
        </row>
        <row r="181">
          <cell r="F181">
            <v>111618</v>
          </cell>
          <cell r="G181" t="str">
            <v>DIFFUSER, LED, Winter Edition (Frosted Green)</v>
          </cell>
          <cell r="H181" t="str">
            <v>N</v>
          </cell>
          <cell r="I181" t="str">
            <v>102</v>
          </cell>
          <cell r="J181" t="str">
            <v> 810076211022</v>
          </cell>
          <cell r="K181">
            <v>50810076211027</v>
          </cell>
          <cell r="L181">
            <v>30810076211023</v>
          </cell>
          <cell r="M181" t="str">
            <v/>
          </cell>
          <cell r="N181" t="str">
            <v/>
          </cell>
          <cell r="O181">
            <v>29.99</v>
          </cell>
          <cell r="P181">
            <v>14.994999999999999</v>
          </cell>
        </row>
        <row r="182">
          <cell r="F182" t="str">
            <v>LL-14-3083</v>
          </cell>
          <cell r="G182" t="str">
            <v>Blush Pink Ribbed Candle - Vanilla Tangerine</v>
          </cell>
          <cell r="H182" t="str">
            <v>Y</v>
          </cell>
          <cell r="I182" t="str">
            <v>209</v>
          </cell>
          <cell r="J182">
            <v>810076212098</v>
          </cell>
          <cell r="K182">
            <v>50810076212093</v>
          </cell>
          <cell r="L182">
            <v>30810076212099</v>
          </cell>
          <cell r="M182">
            <v>3</v>
          </cell>
          <cell r="N182">
            <v>12</v>
          </cell>
          <cell r="O182">
            <v>29.99</v>
          </cell>
          <cell r="P182">
            <v>14.994999999999999</v>
          </cell>
        </row>
        <row r="183">
          <cell r="F183" t="str">
            <v>LL-11-1621</v>
          </cell>
          <cell r="G183" t="str">
            <v>Olive Ribbed Candle Diffuser - Citrus Grove</v>
          </cell>
          <cell r="H183" t="str">
            <v>Y</v>
          </cell>
          <cell r="I183" t="str">
            <v>169</v>
          </cell>
          <cell r="J183">
            <v>810076211695</v>
          </cell>
          <cell r="K183">
            <v>50810076211690</v>
          </cell>
          <cell r="L183">
            <v>30810076211696</v>
          </cell>
          <cell r="M183">
            <v>3</v>
          </cell>
          <cell r="N183">
            <v>12</v>
          </cell>
          <cell r="O183">
            <v>29.99</v>
          </cell>
          <cell r="P183">
            <v>14.994999999999999</v>
          </cell>
        </row>
        <row r="184">
          <cell r="F184" t="str">
            <v>LL-14-3084</v>
          </cell>
          <cell r="G184" t="str">
            <v>Blush Pink Bubble Planter Diffuser- Peach Linen</v>
          </cell>
          <cell r="H184" t="str">
            <v>Y</v>
          </cell>
          <cell r="I184" t="str">
            <v>210</v>
          </cell>
          <cell r="J184">
            <v>810076212104</v>
          </cell>
          <cell r="K184">
            <v>50810076212109</v>
          </cell>
          <cell r="L184">
            <v>30810076212105</v>
          </cell>
          <cell r="M184">
            <v>3</v>
          </cell>
          <cell r="N184">
            <v>12</v>
          </cell>
          <cell r="O184">
            <v>29.99</v>
          </cell>
          <cell r="P184">
            <v>14.994999999999999</v>
          </cell>
        </row>
        <row r="185">
          <cell r="F185" t="str">
            <v>LL-14-3338</v>
          </cell>
          <cell r="G185" t="str">
            <v>DIFFUSER, LED, QVC Deal - Green [Fir + Fresia]</v>
          </cell>
          <cell r="H185" t="str">
            <v>Y</v>
          </cell>
          <cell r="I185" t="str">
            <v>531</v>
          </cell>
          <cell r="J185">
            <v>810076215310</v>
          </cell>
          <cell r="K185">
            <v>50810076215315</v>
          </cell>
          <cell r="L185">
            <v>30810076215311</v>
          </cell>
          <cell r="M185">
            <v>1</v>
          </cell>
          <cell r="N185">
            <v>24</v>
          </cell>
          <cell r="O185">
            <v>39.99</v>
          </cell>
          <cell r="P185">
            <v>19.995000000000001</v>
          </cell>
        </row>
        <row r="186">
          <cell r="F186" t="str">
            <v>LL-14-3339</v>
          </cell>
          <cell r="G186" t="str">
            <v>DIFFUSER, LED, QVC Deal - Blue [Mahogany + Mango]</v>
          </cell>
          <cell r="H186" t="str">
            <v>Y</v>
          </cell>
          <cell r="I186" t="str">
            <v>532</v>
          </cell>
          <cell r="J186">
            <v>810076215327</v>
          </cell>
          <cell r="K186">
            <v>50810076215322</v>
          </cell>
          <cell r="L186">
            <v>30810076215328</v>
          </cell>
          <cell r="M186">
            <v>1</v>
          </cell>
          <cell r="N186">
            <v>24</v>
          </cell>
          <cell r="O186">
            <v>39.99</v>
          </cell>
          <cell r="P186">
            <v>19.995000000000001</v>
          </cell>
        </row>
        <row r="187">
          <cell r="F187" t="str">
            <v>LL-14-3340</v>
          </cell>
          <cell r="G187" t="str">
            <v>DIFFUSER, LED, QVC Deal - Pink [Berry + Rose]</v>
          </cell>
          <cell r="H187" t="str">
            <v>Y</v>
          </cell>
          <cell r="I187" t="str">
            <v>533</v>
          </cell>
          <cell r="J187">
            <v>810076215334</v>
          </cell>
          <cell r="K187">
            <v>50810076215339</v>
          </cell>
          <cell r="L187">
            <v>30810076215335</v>
          </cell>
          <cell r="M187">
            <v>1</v>
          </cell>
          <cell r="N187">
            <v>24</v>
          </cell>
          <cell r="O187">
            <v>39.99</v>
          </cell>
          <cell r="P187">
            <v>19.995000000000001</v>
          </cell>
        </row>
        <row r="188">
          <cell r="F188" t="str">
            <v>LL-14-3431</v>
          </cell>
          <cell r="G188" t="str">
            <v>DIFFUSER, LED, QVC Deal - White [Vanilla + Hibiscus]</v>
          </cell>
          <cell r="H188" t="str">
            <v>Y</v>
          </cell>
          <cell r="I188" t="str">
            <v>627</v>
          </cell>
          <cell r="J188">
            <v>810076216270</v>
          </cell>
          <cell r="K188">
            <v>50810076216275</v>
          </cell>
          <cell r="L188">
            <v>30810076216271</v>
          </cell>
          <cell r="M188">
            <v>1</v>
          </cell>
          <cell r="N188">
            <v>24</v>
          </cell>
          <cell r="O188">
            <v>39.99</v>
          </cell>
          <cell r="P188">
            <v>19.995000000000001</v>
          </cell>
        </row>
        <row r="189">
          <cell r="F189" t="str">
            <v>LL-14-3452</v>
          </cell>
          <cell r="G189" t="str">
            <v>DIFFUSER, LED, Ribbed Mauve [In Bloom + Coco Hibiscus]</v>
          </cell>
          <cell r="H189" t="str">
            <v>Y</v>
          </cell>
          <cell r="I189" t="str">
            <v>651</v>
          </cell>
          <cell r="J189">
            <v>810076216515</v>
          </cell>
          <cell r="K189">
            <v>50810076216510</v>
          </cell>
          <cell r="L189">
            <v>30810076216516</v>
          </cell>
          <cell r="M189">
            <v>3</v>
          </cell>
          <cell r="N189">
            <v>12</v>
          </cell>
          <cell r="O189">
            <v>39.99</v>
          </cell>
          <cell r="P189">
            <v>19.995000000000001</v>
          </cell>
        </row>
        <row r="190">
          <cell r="F190" t="str">
            <v>LL-14-3453</v>
          </cell>
          <cell r="G190" t="str">
            <v>DIFFUSER, LED, Ribbed Amber [Citrus + Herbal]</v>
          </cell>
          <cell r="H190" t="str">
            <v>Y</v>
          </cell>
          <cell r="I190" t="str">
            <v>652</v>
          </cell>
          <cell r="J190">
            <v>810076216522</v>
          </cell>
          <cell r="K190">
            <v>50810076216527</v>
          </cell>
          <cell r="L190">
            <v>30810076216523</v>
          </cell>
          <cell r="M190">
            <v>3</v>
          </cell>
          <cell r="N190">
            <v>12</v>
          </cell>
          <cell r="O190">
            <v>39.99</v>
          </cell>
          <cell r="P190">
            <v>19.995000000000001</v>
          </cell>
        </row>
        <row r="191">
          <cell r="F191" t="str">
            <v>LL-14-3454</v>
          </cell>
          <cell r="G191" t="str">
            <v>DIFFUSER, LED, Frosted Oatmeal [WITW + Desert Winds]</v>
          </cell>
          <cell r="H191" t="str">
            <v>Y</v>
          </cell>
          <cell r="I191" t="str">
            <v>653</v>
          </cell>
          <cell r="J191">
            <v>810076216539</v>
          </cell>
          <cell r="K191">
            <v>50810076216534</v>
          </cell>
          <cell r="L191">
            <v>30810076216530</v>
          </cell>
          <cell r="M191">
            <v>3</v>
          </cell>
          <cell r="N191">
            <v>12</v>
          </cell>
          <cell r="O191">
            <v>39.99</v>
          </cell>
          <cell r="P191">
            <v>19.995000000000001</v>
          </cell>
        </row>
        <row r="192">
          <cell r="F192" t="str">
            <v>LL-14-3455</v>
          </cell>
          <cell r="G192" t="str">
            <v>DIFFUSER, LED, Frosted Blue [Coco Hibiscus + CMA]</v>
          </cell>
          <cell r="H192" t="str">
            <v>Y</v>
          </cell>
          <cell r="I192" t="str">
            <v>654</v>
          </cell>
          <cell r="J192">
            <v>810076216546</v>
          </cell>
          <cell r="K192">
            <v>50810076216541</v>
          </cell>
          <cell r="L192">
            <v>30810076216547</v>
          </cell>
          <cell r="M192">
            <v>3</v>
          </cell>
          <cell r="N192">
            <v>12</v>
          </cell>
          <cell r="O192">
            <v>39.99</v>
          </cell>
          <cell r="P192">
            <v>19.995000000000001</v>
          </cell>
        </row>
        <row r="193">
          <cell r="F193" t="str">
            <v>LL-14-3085</v>
          </cell>
          <cell r="G193" t="str">
            <v>DIFFUSER, LED, Bubble (Blue)</v>
          </cell>
          <cell r="H193" t="str">
            <v>Y</v>
          </cell>
          <cell r="I193" t="str">
            <v>211</v>
          </cell>
          <cell r="J193">
            <v>810076212111</v>
          </cell>
          <cell r="K193">
            <v>50810076212116</v>
          </cell>
          <cell r="L193">
            <v>30810076212112</v>
          </cell>
          <cell r="M193">
            <v>3</v>
          </cell>
          <cell r="N193">
            <v>12</v>
          </cell>
          <cell r="O193">
            <v>29.99</v>
          </cell>
          <cell r="P193">
            <v>14.994999999999999</v>
          </cell>
        </row>
        <row r="194">
          <cell r="F194" t="str">
            <v>LL-14-3432</v>
          </cell>
          <cell r="G194" t="str">
            <v>DIFFUSER, LED, Iridescent - Vanilla Cashmere</v>
          </cell>
          <cell r="H194" t="str">
            <v>Y</v>
          </cell>
          <cell r="I194" t="str">
            <v>628</v>
          </cell>
          <cell r="J194">
            <v>810076216287</v>
          </cell>
          <cell r="K194">
            <v>50810076216282</v>
          </cell>
          <cell r="L194">
            <v>30810076216288</v>
          </cell>
          <cell r="M194">
            <v>3</v>
          </cell>
          <cell r="N194">
            <v>12</v>
          </cell>
          <cell r="O194">
            <v>29.99</v>
          </cell>
          <cell r="P194">
            <v>14.994999999999999</v>
          </cell>
        </row>
        <row r="195">
          <cell r="F195" t="str">
            <v>LL-14-3086</v>
          </cell>
          <cell r="G195" t="str">
            <v>Blue Bubble  Planter Diffuser - Desert Canyon Air</v>
          </cell>
          <cell r="H195" t="str">
            <v>Y</v>
          </cell>
          <cell r="I195" t="str">
            <v>212</v>
          </cell>
          <cell r="J195">
            <v>810076212128</v>
          </cell>
          <cell r="K195">
            <v>50810076212123</v>
          </cell>
          <cell r="L195">
            <v>30810076212129</v>
          </cell>
          <cell r="M195">
            <v>3</v>
          </cell>
          <cell r="N195">
            <v>12</v>
          </cell>
          <cell r="O195">
            <v>29.99</v>
          </cell>
          <cell r="P195">
            <v>14.994999999999999</v>
          </cell>
        </row>
        <row r="196">
          <cell r="F196">
            <v>110454</v>
          </cell>
          <cell r="G196" t="str">
            <v>ClickWick™ Replacement Bloom, Citrus (Universal)</v>
          </cell>
          <cell r="H196" t="str">
            <v>Y</v>
          </cell>
          <cell r="I196" t="str">
            <v>171</v>
          </cell>
          <cell r="J196">
            <v>810076211718</v>
          </cell>
          <cell r="K196">
            <v>50810076211713</v>
          </cell>
          <cell r="L196">
            <v>30810076211719</v>
          </cell>
          <cell r="M196" t="str">
            <v/>
          </cell>
          <cell r="N196" t="str">
            <v/>
          </cell>
          <cell r="O196">
            <v>14.99</v>
          </cell>
          <cell r="P196">
            <v>7.4950000000000001</v>
          </cell>
        </row>
        <row r="197">
          <cell r="F197">
            <v>110455</v>
          </cell>
          <cell r="G197" t="str">
            <v>ClickWick™ Replacement Woodsy, Mountain (Universal)</v>
          </cell>
          <cell r="H197" t="str">
            <v>Y</v>
          </cell>
          <cell r="I197" t="str">
            <v>172</v>
          </cell>
          <cell r="J197">
            <v>810076211725</v>
          </cell>
          <cell r="K197">
            <v>50810076211720</v>
          </cell>
          <cell r="L197">
            <v>30810076211726</v>
          </cell>
          <cell r="M197" t="str">
            <v/>
          </cell>
          <cell r="N197" t="str">
            <v/>
          </cell>
          <cell r="O197">
            <v>14.99</v>
          </cell>
          <cell r="P197">
            <v>7.4950000000000001</v>
          </cell>
        </row>
        <row r="198">
          <cell r="F198">
            <v>989521</v>
          </cell>
          <cell r="G198" t="str">
            <v>Lifelines Scented Lava Pen, Highlighter &amp; Pencil (11-2508 &amp; 11-2509 &amp; 11-2507)</v>
          </cell>
          <cell r="H198" t="str">
            <v>N</v>
          </cell>
          <cell r="I198" t="str">
            <v>142</v>
          </cell>
          <cell r="J198">
            <v>810076211428</v>
          </cell>
          <cell r="K198">
            <v>50810076211423</v>
          </cell>
          <cell r="L198">
            <v>30810076211429</v>
          </cell>
          <cell r="M198" t="str">
            <v/>
          </cell>
          <cell r="N198" t="str">
            <v/>
          </cell>
          <cell r="O198">
            <v>39.979999999999997</v>
          </cell>
          <cell r="P198">
            <v>19.989999999999998</v>
          </cell>
        </row>
        <row r="199">
          <cell r="F199">
            <v>989522</v>
          </cell>
          <cell r="G199" t="str">
            <v>Lifelines Meadow Journal, Highlighter, Pen Diffuser &amp; Pencil  (16-0109 &amp; 11-2509 &amp; 11-2504 &amp; 11-2507)</v>
          </cell>
          <cell r="H199" t="str">
            <v>N</v>
          </cell>
          <cell r="I199" t="str">
            <v>143</v>
          </cell>
          <cell r="J199">
            <v>810076211435</v>
          </cell>
          <cell r="K199">
            <v>50810076211430</v>
          </cell>
          <cell r="L199">
            <v>30810076211436</v>
          </cell>
          <cell r="M199" t="str">
            <v/>
          </cell>
          <cell r="N199" t="str">
            <v/>
          </cell>
          <cell r="O199">
            <v>42.98</v>
          </cell>
          <cell r="P199">
            <v>21.49</v>
          </cell>
        </row>
        <row r="200">
          <cell r="F200">
            <v>989523</v>
          </cell>
          <cell r="G200" t="str">
            <v xml:space="preserve">Lifelines Ocean Journal, Highlighter, Pen Diffuser &amp; Pencil (16-0103 &amp; 11-2509 &amp; 11-2504 &amp; 11-2507) </v>
          </cell>
          <cell r="H200" t="str">
            <v>N</v>
          </cell>
          <cell r="I200" t="str">
            <v>144</v>
          </cell>
          <cell r="J200">
            <v>810076211442</v>
          </cell>
          <cell r="K200">
            <v>50810076211447</v>
          </cell>
          <cell r="L200">
            <v>30810076211443</v>
          </cell>
          <cell r="M200" t="str">
            <v/>
          </cell>
          <cell r="N200" t="str">
            <v/>
          </cell>
          <cell r="O200">
            <v>42.98</v>
          </cell>
          <cell r="P200">
            <v>21.49</v>
          </cell>
        </row>
        <row r="201">
          <cell r="F201">
            <v>110456</v>
          </cell>
          <cell r="G201" t="str">
            <v>ClickWick™ Replacement Woodsy, Herbal (Universal) - 2pk</v>
          </cell>
          <cell r="H201" t="str">
            <v>Y</v>
          </cell>
          <cell r="I201" t="str">
            <v>173</v>
          </cell>
          <cell r="J201">
            <v>810076211732</v>
          </cell>
          <cell r="K201">
            <v>50810076211737</v>
          </cell>
          <cell r="L201">
            <v>30810076211733</v>
          </cell>
          <cell r="M201" t="str">
            <v/>
          </cell>
          <cell r="N201" t="str">
            <v/>
          </cell>
          <cell r="O201">
            <v>14.99</v>
          </cell>
          <cell r="P201">
            <v>7.4950000000000001</v>
          </cell>
        </row>
        <row r="202">
          <cell r="F202">
            <v>110511</v>
          </cell>
          <cell r="G202" t="str">
            <v>Herbal Garden - 2pk oils (7.5ML)</v>
          </cell>
          <cell r="H202" t="str">
            <v>Y</v>
          </cell>
          <cell r="I202" t="str">
            <v>174</v>
          </cell>
          <cell r="J202">
            <v>810076211749</v>
          </cell>
          <cell r="K202">
            <v>50810076211744</v>
          </cell>
          <cell r="L202">
            <v>30810076211740</v>
          </cell>
          <cell r="M202" t="str">
            <v/>
          </cell>
          <cell r="N202" t="str">
            <v/>
          </cell>
          <cell r="O202">
            <v>11.99</v>
          </cell>
          <cell r="P202">
            <v>5.9950000000000001</v>
          </cell>
        </row>
        <row r="203">
          <cell r="F203" t="str">
            <v>98-9221</v>
          </cell>
          <cell r="G203" t="str">
            <v>Waves + Oil BOX  Set (5 oils)</v>
          </cell>
          <cell r="H203" t="str">
            <v>N</v>
          </cell>
          <cell r="I203" t="str">
            <v>130</v>
          </cell>
          <cell r="J203">
            <v>810076211305</v>
          </cell>
          <cell r="K203">
            <v>50810076211300</v>
          </cell>
          <cell r="L203">
            <v>30810076211306</v>
          </cell>
          <cell r="M203">
            <v>0</v>
          </cell>
          <cell r="N203">
            <v>12</v>
          </cell>
          <cell r="O203">
            <v>44.99</v>
          </cell>
          <cell r="P203">
            <v>22.495000000000001</v>
          </cell>
        </row>
        <row r="204">
          <cell r="F204" t="str">
            <v>LL-12-3021</v>
          </cell>
          <cell r="G204" t="str">
            <v>Scented Lava Pen Set- 10-pack</v>
          </cell>
          <cell r="H204" t="str">
            <v>Y</v>
          </cell>
          <cell r="I204" t="str">
            <v>237</v>
          </cell>
          <cell r="J204">
            <v>810076212371</v>
          </cell>
          <cell r="K204">
            <v>50810076212376</v>
          </cell>
          <cell r="L204">
            <v>30810076212372</v>
          </cell>
          <cell r="M204">
            <v>4</v>
          </cell>
          <cell r="N204">
            <v>12</v>
          </cell>
          <cell r="O204">
            <v>29.99</v>
          </cell>
          <cell r="P204">
            <v>14.994999999999999</v>
          </cell>
        </row>
        <row r="205">
          <cell r="F205" t="str">
            <v>LL-12-3102</v>
          </cell>
          <cell r="G205" t="str">
            <v>Scented Lava Pen Set- 5-pack (Brights)</v>
          </cell>
          <cell r="H205" t="str">
            <v>Y</v>
          </cell>
          <cell r="I205" t="str">
            <v>241</v>
          </cell>
          <cell r="J205">
            <v>810076212418</v>
          </cell>
          <cell r="K205">
            <v>50810076212413</v>
          </cell>
          <cell r="L205">
            <v>30810076212419</v>
          </cell>
          <cell r="M205">
            <v>4</v>
          </cell>
          <cell r="N205">
            <v>12</v>
          </cell>
          <cell r="O205">
            <v>19.989999999999998</v>
          </cell>
          <cell r="P205">
            <v>9.9949999999999992</v>
          </cell>
        </row>
        <row r="206">
          <cell r="F206" t="str">
            <v>11-2508</v>
          </cell>
          <cell r="G206" t="str">
            <v>Scented Lava Pen Set- 5-pack</v>
          </cell>
          <cell r="H206" t="str">
            <v>Y</v>
          </cell>
          <cell r="I206" t="str">
            <v>099</v>
          </cell>
          <cell r="J206">
            <v>810076210995</v>
          </cell>
          <cell r="K206">
            <v>50810076210990</v>
          </cell>
          <cell r="L206">
            <v>30810076210996</v>
          </cell>
          <cell r="M206">
            <v>6</v>
          </cell>
          <cell r="N206">
            <v>36</v>
          </cell>
          <cell r="O206">
            <v>19.989999999999998</v>
          </cell>
          <cell r="P206">
            <v>9.9949999999999992</v>
          </cell>
        </row>
        <row r="207">
          <cell r="F207" t="str">
            <v>LL-11-2508-V2</v>
          </cell>
          <cell r="G207" t="str">
            <v>Scented Lava Pen Set- 5-pack</v>
          </cell>
          <cell r="H207" t="str">
            <v>N</v>
          </cell>
          <cell r="I207" t="str">
            <v/>
          </cell>
          <cell r="J207" t="str">
            <v/>
          </cell>
          <cell r="K207" t="str">
            <v/>
          </cell>
          <cell r="L207" t="str">
            <v/>
          </cell>
          <cell r="M207"/>
          <cell r="N207"/>
          <cell r="O207">
            <v>19.989999999999998</v>
          </cell>
          <cell r="P207">
            <v>9.9949999999999992</v>
          </cell>
        </row>
        <row r="208">
          <cell r="F208" t="str">
            <v>11-2508-V2</v>
          </cell>
          <cell r="G208" t="str">
            <v>Scented Lava Pen Set- 5-pack</v>
          </cell>
          <cell r="H208" t="str">
            <v>N</v>
          </cell>
          <cell r="I208" t="str">
            <v/>
          </cell>
          <cell r="J208" t="str">
            <v/>
          </cell>
          <cell r="K208" t="str">
            <v/>
          </cell>
          <cell r="L208" t="str">
            <v/>
          </cell>
          <cell r="M208"/>
          <cell r="N208"/>
          <cell r="O208">
            <v>19.989999999999998</v>
          </cell>
          <cell r="P208">
            <v>9.9949999999999992</v>
          </cell>
        </row>
        <row r="209">
          <cell r="F209" t="str">
            <v>LL-11-2508-CP12</v>
          </cell>
          <cell r="G209" t="str">
            <v xml:space="preserve">Scented Lava Pen Set- 5-pack </v>
          </cell>
          <cell r="H209" t="str">
            <v>N</v>
          </cell>
          <cell r="I209" t="str">
            <v/>
          </cell>
          <cell r="J209" t="str">
            <v/>
          </cell>
          <cell r="K209">
            <v>60810076210997</v>
          </cell>
          <cell r="L209">
            <v>40810076210993</v>
          </cell>
          <cell r="M209">
            <v>4</v>
          </cell>
          <cell r="N209">
            <v>12</v>
          </cell>
          <cell r="O209">
            <v>19.989999999999998</v>
          </cell>
          <cell r="P209">
            <v>9.9949999999999992</v>
          </cell>
        </row>
        <row r="210">
          <cell r="F210" t="str">
            <v>LL-12-3104</v>
          </cell>
          <cell r="G210" t="str">
            <v>Scented Lava Pen Set- 5-pack (Winter)</v>
          </cell>
          <cell r="H210" t="str">
            <v>Y</v>
          </cell>
          <cell r="I210" t="str">
            <v>243</v>
          </cell>
          <cell r="J210">
            <v>810076212432</v>
          </cell>
          <cell r="K210">
            <v>50810076212437</v>
          </cell>
          <cell r="L210">
            <v>30810076212433</v>
          </cell>
          <cell r="M210"/>
          <cell r="N210"/>
          <cell r="O210">
            <v>19.989999999999998</v>
          </cell>
          <cell r="P210">
            <v>9.9949999999999992</v>
          </cell>
        </row>
        <row r="211">
          <cell r="F211" t="str">
            <v>11-2509</v>
          </cell>
          <cell r="G211" t="str">
            <v>Scented Stacking Highlighters - 2-pack</v>
          </cell>
          <cell r="H211" t="str">
            <v>Y</v>
          </cell>
          <cell r="I211" t="str">
            <v>098</v>
          </cell>
          <cell r="J211">
            <v>810076210988</v>
          </cell>
          <cell r="K211">
            <v>50810076210983</v>
          </cell>
          <cell r="L211">
            <v>30810076210989</v>
          </cell>
          <cell r="M211">
            <v>6</v>
          </cell>
          <cell r="N211">
            <v>36</v>
          </cell>
          <cell r="O211">
            <v>12.99</v>
          </cell>
          <cell r="P211">
            <v>6.4950000000000001</v>
          </cell>
        </row>
        <row r="212">
          <cell r="F212" t="str">
            <v>11-2509-CP12</v>
          </cell>
          <cell r="G212" t="str">
            <v>Scented Stacking Highlighters - 2-pack</v>
          </cell>
          <cell r="H212" t="str">
            <v>N</v>
          </cell>
          <cell r="I212" t="str">
            <v/>
          </cell>
          <cell r="J212" t="str">
            <v/>
          </cell>
          <cell r="K212">
            <v>60810076210980</v>
          </cell>
          <cell r="L212">
            <v>40810076210986</v>
          </cell>
          <cell r="M212">
            <v>4</v>
          </cell>
          <cell r="N212">
            <v>12</v>
          </cell>
          <cell r="O212">
            <v>12.99</v>
          </cell>
          <cell r="P212">
            <v>6.4950000000000001</v>
          </cell>
        </row>
        <row r="213">
          <cell r="F213" t="str">
            <v>LL-12-3365</v>
          </cell>
          <cell r="G213" t="str">
            <v>DbL Marker Extension Tray - 8</v>
          </cell>
          <cell r="H213" t="str">
            <v>N</v>
          </cell>
          <cell r="I213" t="str">
            <v>563</v>
          </cell>
          <cell r="J213">
            <v>810076215631</v>
          </cell>
          <cell r="K213">
            <v>50810076215636</v>
          </cell>
          <cell r="L213">
            <v>30810076215632</v>
          </cell>
          <cell r="M213">
            <v>4</v>
          </cell>
          <cell r="N213">
            <v>12</v>
          </cell>
          <cell r="P213">
            <v>0</v>
          </cell>
        </row>
        <row r="214">
          <cell r="F214" t="str">
            <v>LL-12-3379</v>
          </cell>
          <cell r="G214" t="str">
            <v>DbL Marker Extension Tray - 4</v>
          </cell>
          <cell r="H214" t="str">
            <v>N</v>
          </cell>
          <cell r="I214" t="str">
            <v>580</v>
          </cell>
          <cell r="J214">
            <v>810076215808</v>
          </cell>
          <cell r="K214">
            <v>50810076215803</v>
          </cell>
          <cell r="L214">
            <v>30810076215809</v>
          </cell>
          <cell r="M214">
            <v>4</v>
          </cell>
          <cell r="N214">
            <v>12</v>
          </cell>
          <cell r="P214">
            <v>0</v>
          </cell>
        </row>
        <row r="215">
          <cell r="F215" t="str">
            <v>LL-12-3018</v>
          </cell>
          <cell r="G215" t="str">
            <v>Scented Marker 10 Colors</v>
          </cell>
          <cell r="H215" t="str">
            <v>N</v>
          </cell>
          <cell r="I215" t="str">
            <v>364</v>
          </cell>
          <cell r="J215">
            <v>810076213644</v>
          </cell>
          <cell r="K215">
            <v>50810076213649</v>
          </cell>
          <cell r="L215">
            <v>30810076213645</v>
          </cell>
          <cell r="M215">
            <v>4</v>
          </cell>
          <cell r="N215">
            <v>12</v>
          </cell>
          <cell r="O215">
            <v>12.99</v>
          </cell>
          <cell r="P215">
            <v>6.4950000000000001</v>
          </cell>
        </row>
        <row r="216">
          <cell r="F216" t="str">
            <v>LL-12-3019</v>
          </cell>
          <cell r="G216" t="str">
            <v>Scented Marker 20 Colors</v>
          </cell>
          <cell r="H216" t="str">
            <v>N</v>
          </cell>
          <cell r="I216" t="str">
            <v>365</v>
          </cell>
          <cell r="J216">
            <v>810076213651</v>
          </cell>
          <cell r="K216">
            <v>50810076213656</v>
          </cell>
          <cell r="L216">
            <v>30810076213652</v>
          </cell>
          <cell r="M216">
            <v>4</v>
          </cell>
          <cell r="N216">
            <v>12</v>
          </cell>
          <cell r="O216">
            <v>19.989999999999998</v>
          </cell>
          <cell r="P216">
            <v>9.9949999999999992</v>
          </cell>
        </row>
        <row r="217">
          <cell r="F217" t="str">
            <v>LL-12-3082</v>
          </cell>
          <cell r="G217" t="str">
            <v xml:space="preserve">Scented Lava Pen Set - 2-pack (Purple / Orange) </v>
          </cell>
          <cell r="H217" t="str">
            <v>Y</v>
          </cell>
          <cell r="I217" t="str">
            <v>206</v>
          </cell>
          <cell r="J217">
            <v>810076212067</v>
          </cell>
          <cell r="K217">
            <v>50810076212062</v>
          </cell>
          <cell r="L217">
            <v>30810076212068</v>
          </cell>
          <cell r="M217">
            <v>6</v>
          </cell>
          <cell r="N217">
            <v>36</v>
          </cell>
          <cell r="O217">
            <v>12.99</v>
          </cell>
          <cell r="P217">
            <v>6.4950000000000001</v>
          </cell>
        </row>
        <row r="218">
          <cell r="F218" t="str">
            <v>LL-12-3109</v>
          </cell>
          <cell r="G218" t="str">
            <v xml:space="preserve">Scented Lava Pen Set - 2-pack (Pink / Purple) </v>
          </cell>
          <cell r="H218" t="str">
            <v>Y</v>
          </cell>
          <cell r="I218" t="str">
            <v>248</v>
          </cell>
          <cell r="J218">
            <v>810076212487</v>
          </cell>
          <cell r="K218">
            <v>50810076212482</v>
          </cell>
          <cell r="L218">
            <v>30810076212488</v>
          </cell>
          <cell r="M218">
            <v>4</v>
          </cell>
          <cell r="N218">
            <v>12</v>
          </cell>
          <cell r="O218">
            <v>12.99</v>
          </cell>
          <cell r="P218">
            <v>6.4950000000000001</v>
          </cell>
        </row>
        <row r="219">
          <cell r="F219" t="str">
            <v>LL-12-3110</v>
          </cell>
          <cell r="G219" t="str">
            <v xml:space="preserve">Scented Lava Pen Set - 2-pack (Lime Green / Violet) </v>
          </cell>
          <cell r="H219" t="str">
            <v>Y</v>
          </cell>
          <cell r="I219" t="str">
            <v>249</v>
          </cell>
          <cell r="J219">
            <v>810076212494</v>
          </cell>
          <cell r="K219">
            <v>50810076212499</v>
          </cell>
          <cell r="L219">
            <v>30810076212495</v>
          </cell>
          <cell r="M219">
            <v>4</v>
          </cell>
          <cell r="N219">
            <v>12</v>
          </cell>
          <cell r="O219">
            <v>12.99</v>
          </cell>
          <cell r="P219">
            <v>6.4950000000000001</v>
          </cell>
        </row>
        <row r="220">
          <cell r="F220" t="str">
            <v>11-2520</v>
          </cell>
          <cell r="G220" t="str">
            <v>Scented Lava Pen Set - 2-pack (Black / Red)</v>
          </cell>
          <cell r="H220" t="str">
            <v>Y</v>
          </cell>
          <cell r="I220" t="str">
            <v>121</v>
          </cell>
          <cell r="J220">
            <v>810076211213</v>
          </cell>
          <cell r="K220">
            <v>50810076211218</v>
          </cell>
          <cell r="L220">
            <v>30810076211214</v>
          </cell>
          <cell r="M220">
            <v>6</v>
          </cell>
          <cell r="N220">
            <v>36</v>
          </cell>
          <cell r="O220">
            <v>12.99</v>
          </cell>
          <cell r="P220">
            <v>6.4950000000000001</v>
          </cell>
        </row>
        <row r="221">
          <cell r="F221" t="str">
            <v>11-2521</v>
          </cell>
          <cell r="G221" t="str">
            <v xml:space="preserve">Scented Lava Pen Set - 2-pack (Blue / Red) </v>
          </cell>
          <cell r="H221" t="str">
            <v>Y</v>
          </cell>
          <cell r="I221" t="str">
            <v>122</v>
          </cell>
          <cell r="J221">
            <v>810076211220</v>
          </cell>
          <cell r="K221">
            <v>50810076211225</v>
          </cell>
          <cell r="L221">
            <v>30810076211221</v>
          </cell>
          <cell r="M221">
            <v>6</v>
          </cell>
          <cell r="N221">
            <v>36</v>
          </cell>
          <cell r="O221">
            <v>12.99</v>
          </cell>
          <cell r="P221">
            <v>6.4950000000000001</v>
          </cell>
        </row>
        <row r="222">
          <cell r="F222" t="str">
            <v>LL-12-3066</v>
          </cell>
          <cell r="G222" t="str">
            <v xml:space="preserve">Scented Lava Pen Set - 2-pack (Blue / Green) </v>
          </cell>
          <cell r="H222" t="str">
            <v>Y</v>
          </cell>
          <cell r="I222" t="str">
            <v>192</v>
          </cell>
          <cell r="J222">
            <v>810076211923</v>
          </cell>
          <cell r="K222">
            <v>50810076211928</v>
          </cell>
          <cell r="L222">
            <v>30810076211924</v>
          </cell>
          <cell r="M222">
            <v>6</v>
          </cell>
          <cell r="N222">
            <v>36</v>
          </cell>
          <cell r="O222">
            <v>12.99</v>
          </cell>
          <cell r="P222">
            <v>6.4950000000000001</v>
          </cell>
        </row>
        <row r="223">
          <cell r="F223" t="str">
            <v>LL-12-3155</v>
          </cell>
          <cell r="G223" t="str">
            <v xml:space="preserve">Scented Lava Pen Set - 2-pack (Brown / Violet) </v>
          </cell>
          <cell r="H223" t="str">
            <v>Y</v>
          </cell>
          <cell r="I223" t="str">
            <v>298</v>
          </cell>
          <cell r="J223">
            <v>810076212982</v>
          </cell>
          <cell r="K223">
            <v>50810076212987</v>
          </cell>
          <cell r="L223">
            <v>30810076212983</v>
          </cell>
          <cell r="M223">
            <v>4</v>
          </cell>
          <cell r="N223">
            <v>12</v>
          </cell>
          <cell r="O223">
            <v>12.99</v>
          </cell>
          <cell r="P223">
            <v>6.4950000000000001</v>
          </cell>
        </row>
        <row r="224">
          <cell r="F224" t="str">
            <v>LL-12-3156</v>
          </cell>
          <cell r="G224" t="str">
            <v xml:space="preserve">Scented Lava Pen Set - 2-pack (TBD / TBD) </v>
          </cell>
          <cell r="H224" t="str">
            <v>N</v>
          </cell>
          <cell r="I224" t="str">
            <v>299</v>
          </cell>
          <cell r="J224">
            <v>810076212999</v>
          </cell>
          <cell r="K224">
            <v>50810076212994</v>
          </cell>
          <cell r="L224">
            <v>30810076212990</v>
          </cell>
          <cell r="M224"/>
          <cell r="N224"/>
          <cell r="O224">
            <v>12.99</v>
          </cell>
          <cell r="P224">
            <v>6.4950000000000001</v>
          </cell>
        </row>
        <row r="225">
          <cell r="F225" t="str">
            <v>LL-12-3066-CP12</v>
          </cell>
          <cell r="G225" t="str">
            <v xml:space="preserve">Scented Lava Pen Set - 2-pack (Blue / Green) </v>
          </cell>
          <cell r="H225" t="str">
            <v>N</v>
          </cell>
          <cell r="I225" t="str">
            <v/>
          </cell>
          <cell r="J225" t="str">
            <v/>
          </cell>
          <cell r="K225">
            <v>60810076211925</v>
          </cell>
          <cell r="L225">
            <v>40810076211921</v>
          </cell>
          <cell r="M225">
            <v>4</v>
          </cell>
          <cell r="N225">
            <v>12</v>
          </cell>
          <cell r="O225">
            <v>12.99</v>
          </cell>
          <cell r="P225">
            <v>6.4950000000000001</v>
          </cell>
        </row>
        <row r="226">
          <cell r="F226" t="str">
            <v>LL-12-3082-CP12</v>
          </cell>
          <cell r="G226" t="str">
            <v>Lava Pen 2 Pack - Purple/Orange</v>
          </cell>
          <cell r="H226" t="str">
            <v>N</v>
          </cell>
          <cell r="I226" t="str">
            <v/>
          </cell>
          <cell r="J226" t="str">
            <v/>
          </cell>
          <cell r="K226">
            <v>60810076212069</v>
          </cell>
          <cell r="L226">
            <v>40810076212065</v>
          </cell>
          <cell r="M226">
            <v>4</v>
          </cell>
          <cell r="N226">
            <v>12</v>
          </cell>
          <cell r="O226">
            <v>12.99</v>
          </cell>
          <cell r="P226">
            <v>6.4950000000000001</v>
          </cell>
        </row>
        <row r="227">
          <cell r="F227" t="str">
            <v>LL-11-2520-CP12</v>
          </cell>
          <cell r="G227" t="str">
            <v>Lava Pen 2 Pack - Black/Red</v>
          </cell>
          <cell r="H227" t="str">
            <v>N</v>
          </cell>
          <cell r="I227" t="str">
            <v/>
          </cell>
          <cell r="J227" t="str">
            <v/>
          </cell>
          <cell r="K227">
            <v>60810076211215</v>
          </cell>
          <cell r="L227">
            <v>40810076211211</v>
          </cell>
          <cell r="M227">
            <v>4</v>
          </cell>
          <cell r="N227">
            <v>12</v>
          </cell>
          <cell r="O227">
            <v>12.99</v>
          </cell>
          <cell r="P227">
            <v>6.4950000000000001</v>
          </cell>
        </row>
        <row r="228">
          <cell r="F228" t="str">
            <v>LL-12-3105</v>
          </cell>
          <cell r="G228" t="str">
            <v>Lava Pen 2 PK - Holiday 2</v>
          </cell>
          <cell r="H228" t="str">
            <v>N</v>
          </cell>
          <cell r="I228" t="str">
            <v>244</v>
          </cell>
          <cell r="J228">
            <v>810076212449</v>
          </cell>
          <cell r="K228">
            <v>50810076212444</v>
          </cell>
          <cell r="L228">
            <v>30810076212440</v>
          </cell>
          <cell r="M228"/>
          <cell r="N228"/>
          <cell r="O228">
            <v>12.99</v>
          </cell>
          <cell r="P228">
            <v>6.4950000000000001</v>
          </cell>
        </row>
        <row r="229">
          <cell r="F229" t="str">
            <v>LL-12-3106</v>
          </cell>
          <cell r="G229" t="str">
            <v>Lava Pen 2 PK - Holiday 3</v>
          </cell>
          <cell r="H229" t="str">
            <v>N</v>
          </cell>
          <cell r="I229" t="str">
            <v>245</v>
          </cell>
          <cell r="J229">
            <v>810076212456</v>
          </cell>
          <cell r="K229">
            <v>50810076212451</v>
          </cell>
          <cell r="L229">
            <v>30810076212457</v>
          </cell>
          <cell r="M229"/>
          <cell r="N229"/>
          <cell r="O229">
            <v>12.99</v>
          </cell>
          <cell r="P229">
            <v>6.4950000000000001</v>
          </cell>
        </row>
        <row r="230">
          <cell r="F230" t="str">
            <v>LL-12-3107</v>
          </cell>
          <cell r="G230" t="str">
            <v>Lava Pen 2 PK - NPI #1</v>
          </cell>
          <cell r="H230" t="str">
            <v>N</v>
          </cell>
          <cell r="I230" t="str">
            <v>246</v>
          </cell>
          <cell r="J230">
            <v>810076212463</v>
          </cell>
          <cell r="K230">
            <v>50810076212468</v>
          </cell>
          <cell r="L230">
            <v>30810076212464</v>
          </cell>
          <cell r="M230"/>
          <cell r="N230"/>
          <cell r="O230">
            <v>12.99</v>
          </cell>
          <cell r="P230">
            <v>6.4950000000000001</v>
          </cell>
        </row>
        <row r="231">
          <cell r="F231" t="str">
            <v>LL-12-3108</v>
          </cell>
          <cell r="G231" t="str">
            <v>Lava Pen 2 PK - NPI #2</v>
          </cell>
          <cell r="H231" t="str">
            <v>N</v>
          </cell>
          <cell r="I231" t="str">
            <v>247</v>
          </cell>
          <cell r="J231">
            <v>810076212470</v>
          </cell>
          <cell r="K231">
            <v>50810076212475</v>
          </cell>
          <cell r="L231">
            <v>30810076212471</v>
          </cell>
          <cell r="M231"/>
          <cell r="N231"/>
          <cell r="O231">
            <v>12.99</v>
          </cell>
          <cell r="P231">
            <v>6.4950000000000001</v>
          </cell>
        </row>
        <row r="232">
          <cell r="F232" t="str">
            <v>LL-12-3288</v>
          </cell>
          <cell r="G232" t="str">
            <v>Pen Discovery Set - 6Pck</v>
          </cell>
          <cell r="H232" t="str">
            <v>N</v>
          </cell>
          <cell r="I232" t="str">
            <v>470</v>
          </cell>
          <cell r="J232">
            <v>810076214702</v>
          </cell>
          <cell r="K232">
            <v>50810076214707</v>
          </cell>
          <cell r="L232">
            <v>30810076214703</v>
          </cell>
          <cell r="M232">
            <v>4</v>
          </cell>
          <cell r="N232">
            <v>12</v>
          </cell>
          <cell r="O232">
            <v>19.989999999999998</v>
          </cell>
          <cell r="P232">
            <v>9.9949999999999992</v>
          </cell>
        </row>
        <row r="233">
          <cell r="F233" t="str">
            <v>LL-12-3242</v>
          </cell>
          <cell r="G233" t="str">
            <v>Scented Sparkle Pen, 10Pck</v>
          </cell>
          <cell r="H233" t="str">
            <v>Y</v>
          </cell>
          <cell r="I233" t="str">
            <v>416</v>
          </cell>
          <cell r="J233">
            <v>810076214160</v>
          </cell>
          <cell r="K233">
            <v>50810076214165</v>
          </cell>
          <cell r="L233">
            <v>30810076214161</v>
          </cell>
          <cell r="M233">
            <v>4</v>
          </cell>
          <cell r="N233">
            <v>12</v>
          </cell>
          <cell r="O233">
            <v>29.99</v>
          </cell>
          <cell r="P233">
            <v>14.994999999999999</v>
          </cell>
        </row>
        <row r="234">
          <cell r="F234" t="str">
            <v>LL-12-3213</v>
          </cell>
          <cell r="G234" t="str">
            <v>Scented Sparkle Pen, 5Pck</v>
          </cell>
          <cell r="H234" t="str">
            <v>Y</v>
          </cell>
          <cell r="I234" t="str">
            <v>385</v>
          </cell>
          <cell r="J234">
            <v>810076213859</v>
          </cell>
          <cell r="K234">
            <v>50810076213854</v>
          </cell>
          <cell r="L234">
            <v>30810076213850</v>
          </cell>
          <cell r="M234">
            <v>4</v>
          </cell>
          <cell r="N234">
            <v>12</v>
          </cell>
          <cell r="O234">
            <v>19.989999999999998</v>
          </cell>
          <cell r="P234">
            <v>9.9949999999999992</v>
          </cell>
        </row>
        <row r="235">
          <cell r="F235" t="str">
            <v>LL-12-3233</v>
          </cell>
          <cell r="G235" t="str">
            <v>Mindful Motion Pen, Glitter 2Pck (Teal / Purple)</v>
          </cell>
          <cell r="H235" t="str">
            <v>Y</v>
          </cell>
          <cell r="I235" t="str">
            <v>407</v>
          </cell>
          <cell r="J235">
            <v>810076214078</v>
          </cell>
          <cell r="K235">
            <v>50810076214073</v>
          </cell>
          <cell r="L235">
            <v>30810076214079</v>
          </cell>
          <cell r="M235">
            <v>4</v>
          </cell>
          <cell r="N235">
            <v>12</v>
          </cell>
          <cell r="O235">
            <v>12.99</v>
          </cell>
          <cell r="P235">
            <v>6.4950000000000001</v>
          </cell>
        </row>
        <row r="236">
          <cell r="F236" t="str">
            <v>LL-12-3214</v>
          </cell>
          <cell r="G236" t="str">
            <v>Scented Swirl Pen, 5Pck</v>
          </cell>
          <cell r="H236" t="str">
            <v>Y</v>
          </cell>
          <cell r="I236" t="str">
            <v>386</v>
          </cell>
          <cell r="J236">
            <v>810076213866</v>
          </cell>
          <cell r="K236">
            <v>50810076213861</v>
          </cell>
          <cell r="L236">
            <v>30810076213867</v>
          </cell>
          <cell r="M236">
            <v>4</v>
          </cell>
          <cell r="N236">
            <v>12</v>
          </cell>
          <cell r="O236">
            <v>19.989999999999998</v>
          </cell>
          <cell r="P236">
            <v>9.9949999999999992</v>
          </cell>
        </row>
        <row r="237">
          <cell r="F237" t="str">
            <v>LL-12-3496</v>
          </cell>
          <cell r="G237" t="str">
            <v>Scented Swirl Pen, 10Pck</v>
          </cell>
          <cell r="H237" t="str">
            <v>N</v>
          </cell>
          <cell r="I237" t="str">
            <v>679</v>
          </cell>
          <cell r="J237">
            <v>810076216799</v>
          </cell>
          <cell r="K237">
            <v>50810076216794</v>
          </cell>
          <cell r="L237">
            <v>30810076216790</v>
          </cell>
          <cell r="M237">
            <v>4</v>
          </cell>
          <cell r="N237">
            <v>12</v>
          </cell>
          <cell r="O237">
            <v>29.99</v>
          </cell>
          <cell r="P237">
            <v>14.994999999999999</v>
          </cell>
        </row>
        <row r="238">
          <cell r="F238">
            <v>119008</v>
          </cell>
          <cell r="G238" t="str">
            <v>Essential Oil Blend Discovery Set - 5-pack (Winter)</v>
          </cell>
          <cell r="H238" t="str">
            <v>Y</v>
          </cell>
          <cell r="I238" t="str">
            <v>103</v>
          </cell>
          <cell r="J238" t="str">
            <v> 810076211039</v>
          </cell>
          <cell r="K238">
            <v>50810076211034</v>
          </cell>
          <cell r="L238">
            <v>30810076211030</v>
          </cell>
          <cell r="M238" t="str">
            <v/>
          </cell>
          <cell r="N238" t="str">
            <v/>
          </cell>
          <cell r="O238">
            <v>19.989999999999998</v>
          </cell>
          <cell r="P238">
            <v>9.9949999999999992</v>
          </cell>
        </row>
        <row r="239">
          <cell r="F239">
            <v>119010</v>
          </cell>
          <cell r="G239" t="str">
            <v>Sensory Immersion™ Gift Set (Winter)</v>
          </cell>
          <cell r="H239" t="str">
            <v>Y</v>
          </cell>
          <cell r="I239" t="str">
            <v>104</v>
          </cell>
          <cell r="J239" t="str">
            <v> 810076211046</v>
          </cell>
          <cell r="K239">
            <v>50810076211041</v>
          </cell>
          <cell r="L239">
            <v>30810076211047</v>
          </cell>
          <cell r="M239" t="str">
            <v/>
          </cell>
          <cell r="N239" t="str">
            <v/>
          </cell>
          <cell r="O239">
            <v>29.99</v>
          </cell>
          <cell r="P239">
            <v>14.994999999999999</v>
          </cell>
        </row>
        <row r="240">
          <cell r="F240">
            <v>112513</v>
          </cell>
          <cell r="G240" t="str">
            <v>Rub &amp; Sniff™ Scented Colored Pencils - 10-pack (Winter)</v>
          </cell>
          <cell r="H240" t="str">
            <v>N</v>
          </cell>
          <cell r="I240" t="str">
            <v>110</v>
          </cell>
          <cell r="J240" t="str">
            <v> 810076211107</v>
          </cell>
          <cell r="K240">
            <v>50810076211102</v>
          </cell>
          <cell r="L240">
            <v>30810076211108</v>
          </cell>
          <cell r="M240" t="str">
            <v/>
          </cell>
          <cell r="N240" t="str">
            <v/>
          </cell>
          <cell r="O240">
            <v>9.99</v>
          </cell>
          <cell r="P240">
            <v>4.9950000000000001</v>
          </cell>
        </row>
        <row r="241">
          <cell r="F241">
            <v>112519</v>
          </cell>
          <cell r="G241" t="str">
            <v>Rub &amp; Sniff™ Scented Colored Pencils - 20-pack (Scents of the Seasons)</v>
          </cell>
          <cell r="H241" t="str">
            <v>Y</v>
          </cell>
          <cell r="I241" t="str">
            <v>182</v>
          </cell>
          <cell r="J241">
            <v>810076211824</v>
          </cell>
          <cell r="K241">
            <v>50810076211829</v>
          </cell>
          <cell r="L241">
            <v>30810076211825</v>
          </cell>
          <cell r="M241">
            <v>6</v>
          </cell>
          <cell r="N241">
            <v>36</v>
          </cell>
          <cell r="O241">
            <v>19.989999999999998</v>
          </cell>
          <cell r="P241">
            <v>9.9949999999999992</v>
          </cell>
        </row>
        <row r="242">
          <cell r="F242" t="str">
            <v>11-0450</v>
          </cell>
          <cell r="G242" t="str">
            <v xml:space="preserve">Essential Oil Blends ClickWick™ Refills - 4-pack Discovery Set </v>
          </cell>
          <cell r="H242" t="str">
            <v>Y</v>
          </cell>
          <cell r="I242" t="str">
            <v>084</v>
          </cell>
          <cell r="J242">
            <v>810076210841</v>
          </cell>
          <cell r="K242">
            <v>50810076210846</v>
          </cell>
          <cell r="L242">
            <v>30810076210842</v>
          </cell>
          <cell r="M242">
            <v>6</v>
          </cell>
          <cell r="N242">
            <v>48</v>
          </cell>
          <cell r="O242">
            <v>29.99</v>
          </cell>
          <cell r="P242">
            <v>14.994999999999999</v>
          </cell>
        </row>
        <row r="243">
          <cell r="F243" t="str">
            <v>11-0450-CP24</v>
          </cell>
          <cell r="G243" t="str">
            <v xml:space="preserve">Essential Oil Blends ClickWick™ Refills - 4-pack Discovery Set </v>
          </cell>
          <cell r="H243" t="str">
            <v>N</v>
          </cell>
          <cell r="I243" t="str">
            <v/>
          </cell>
          <cell r="J243" t="str">
            <v/>
          </cell>
          <cell r="K243">
            <v>50810076210843</v>
          </cell>
          <cell r="L243">
            <v>30810076210849</v>
          </cell>
          <cell r="M243">
            <v>0</v>
          </cell>
          <cell r="N243">
            <v>24</v>
          </cell>
          <cell r="O243">
            <v>29.99</v>
          </cell>
          <cell r="P243">
            <v>14.994999999999999</v>
          </cell>
        </row>
        <row r="244">
          <cell r="F244" t="str">
            <v>11-0450-A</v>
          </cell>
          <cell r="G244" t="str">
            <v>Essential Oil Blends ClickWick™ Refills - 4-pack Discovery Set  - Non Retail Packaging</v>
          </cell>
          <cell r="H244" t="str">
            <v>N</v>
          </cell>
          <cell r="I244" t="str">
            <v/>
          </cell>
          <cell r="J244"/>
          <cell r="K244" t="str">
            <v/>
          </cell>
          <cell r="L244" t="str">
            <v/>
          </cell>
          <cell r="M244" t="str">
            <v>N/A</v>
          </cell>
          <cell r="N244">
            <v>48</v>
          </cell>
          <cell r="O244">
            <v>29.99</v>
          </cell>
          <cell r="P244">
            <v>14.994999999999999</v>
          </cell>
        </row>
        <row r="245">
          <cell r="F245" t="str">
            <v>LL-11-3077</v>
          </cell>
          <cell r="G245" t="str">
            <v>Clickwick 7.5ml Single - In Bloom</v>
          </cell>
          <cell r="H245" t="str">
            <v>Y</v>
          </cell>
          <cell r="I245" t="str">
            <v>201</v>
          </cell>
          <cell r="J245">
            <v>810076212012</v>
          </cell>
          <cell r="K245">
            <v>50810076212017</v>
          </cell>
          <cell r="L245">
            <v>30810076212013</v>
          </cell>
          <cell r="M245">
            <v>6</v>
          </cell>
          <cell r="N245">
            <v>12</v>
          </cell>
          <cell r="O245">
            <v>7.99</v>
          </cell>
          <cell r="P245">
            <v>3.9950000000000001</v>
          </cell>
        </row>
        <row r="246">
          <cell r="F246" t="str">
            <v>LL-11-3078</v>
          </cell>
          <cell r="G246" t="str">
            <v>Clickwick 7.5ml Single - Woods</v>
          </cell>
          <cell r="H246" t="str">
            <v>Y</v>
          </cell>
          <cell r="I246" t="str">
            <v>202</v>
          </cell>
          <cell r="J246">
            <v>810076212029</v>
          </cell>
          <cell r="K246">
            <v>50810076212024</v>
          </cell>
          <cell r="L246">
            <v>30810076212020</v>
          </cell>
          <cell r="M246">
            <v>6</v>
          </cell>
          <cell r="N246">
            <v>12</v>
          </cell>
          <cell r="O246">
            <v>7.99</v>
          </cell>
          <cell r="P246">
            <v>3.9950000000000001</v>
          </cell>
        </row>
        <row r="247">
          <cell r="F247" t="str">
            <v>LL-11-3079</v>
          </cell>
          <cell r="G247" t="str">
            <v>Clickwick 7.5ml Single - Herbal</v>
          </cell>
          <cell r="H247" t="str">
            <v>Y</v>
          </cell>
          <cell r="I247" t="str">
            <v>203</v>
          </cell>
          <cell r="J247">
            <v>810076212036</v>
          </cell>
          <cell r="K247">
            <v>50810076212031</v>
          </cell>
          <cell r="L247">
            <v>30810076212037</v>
          </cell>
          <cell r="M247">
            <v>6</v>
          </cell>
          <cell r="N247">
            <v>12</v>
          </cell>
          <cell r="O247">
            <v>7.99</v>
          </cell>
          <cell r="P247">
            <v>3.9950000000000001</v>
          </cell>
        </row>
        <row r="248">
          <cell r="F248" t="str">
            <v>LL-11-3080</v>
          </cell>
          <cell r="G248" t="str">
            <v>Clickwick 7.5ml Single - Citrus</v>
          </cell>
          <cell r="H248" t="str">
            <v>Y</v>
          </cell>
          <cell r="I248" t="str">
            <v>204</v>
          </cell>
          <cell r="J248">
            <v>810076212043</v>
          </cell>
          <cell r="K248">
            <v>50810076212048</v>
          </cell>
          <cell r="L248">
            <v>30810076212044</v>
          </cell>
          <cell r="M248">
            <v>6</v>
          </cell>
          <cell r="N248">
            <v>12</v>
          </cell>
          <cell r="O248">
            <v>7.99</v>
          </cell>
          <cell r="P248">
            <v>3.9950000000000001</v>
          </cell>
        </row>
        <row r="249">
          <cell r="F249" t="str">
            <v>LL-11-3081</v>
          </cell>
          <cell r="G249" t="str">
            <v>Clickwick 7.5ml Single - CMA</v>
          </cell>
          <cell r="H249" t="str">
            <v>Y</v>
          </cell>
          <cell r="I249" t="str">
            <v>205</v>
          </cell>
          <cell r="J249">
            <v>810076212050</v>
          </cell>
          <cell r="K249">
            <v>50810076212055</v>
          </cell>
          <cell r="L249">
            <v>30810076212051</v>
          </cell>
          <cell r="M249">
            <v>6</v>
          </cell>
          <cell r="N249">
            <v>12</v>
          </cell>
          <cell r="O249">
            <v>7.99</v>
          </cell>
          <cell r="P249">
            <v>3.9950000000000001</v>
          </cell>
        </row>
        <row r="250">
          <cell r="F250" t="str">
            <v>LL-11-3072</v>
          </cell>
          <cell r="G250" t="str">
            <v>Clickwick 7.5ml Single - Vanilla Bean</v>
          </cell>
          <cell r="H250" t="str">
            <v>Y</v>
          </cell>
          <cell r="I250" t="str">
            <v>227</v>
          </cell>
          <cell r="J250">
            <v>810076212272</v>
          </cell>
          <cell r="K250">
            <v>50810076212277</v>
          </cell>
          <cell r="L250">
            <v>30810076212273</v>
          </cell>
          <cell r="M250">
            <v>6</v>
          </cell>
          <cell r="N250">
            <v>12</v>
          </cell>
          <cell r="O250">
            <v>7.99</v>
          </cell>
          <cell r="P250">
            <v>3.9950000000000001</v>
          </cell>
        </row>
        <row r="251">
          <cell r="F251" t="str">
            <v>LL-11-3093</v>
          </cell>
          <cell r="G251" t="str">
            <v>Clickwick 7.5ml Single - Salted Coconut</v>
          </cell>
          <cell r="H251" t="str">
            <v>Y</v>
          </cell>
          <cell r="I251" t="str">
            <v>228</v>
          </cell>
          <cell r="J251">
            <v>810076212289</v>
          </cell>
          <cell r="K251">
            <v>50810076212284</v>
          </cell>
          <cell r="L251">
            <v>30810076212280</v>
          </cell>
          <cell r="M251">
            <v>6</v>
          </cell>
          <cell r="N251">
            <v>12</v>
          </cell>
          <cell r="O251">
            <v>7.99</v>
          </cell>
          <cell r="P251">
            <v>3.9950000000000001</v>
          </cell>
        </row>
        <row r="252">
          <cell r="F252" t="str">
            <v>LL-11-3094</v>
          </cell>
          <cell r="G252" t="str">
            <v>Clickwick 7.5ml Single - Desert Canyon Air [Bubble Bag]</v>
          </cell>
          <cell r="H252" t="str">
            <v>Y</v>
          </cell>
          <cell r="I252" t="str">
            <v>229</v>
          </cell>
          <cell r="J252">
            <v>810076212296</v>
          </cell>
          <cell r="K252">
            <v>50810076212291</v>
          </cell>
          <cell r="L252">
            <v>30810076212297</v>
          </cell>
          <cell r="M252"/>
          <cell r="N252">
            <v>60</v>
          </cell>
          <cell r="O252">
            <v>7.99</v>
          </cell>
          <cell r="P252">
            <v>3.9950000000000001</v>
          </cell>
        </row>
        <row r="253">
          <cell r="F253" t="str">
            <v>LL-11-3095</v>
          </cell>
          <cell r="G253" t="str">
            <v>Clickwick 7.5ml Single - Peach Velvet [Bubble Bag]</v>
          </cell>
          <cell r="H253" t="str">
            <v>Y</v>
          </cell>
          <cell r="I253" t="str">
            <v>230</v>
          </cell>
          <cell r="J253">
            <v>810076212302</v>
          </cell>
          <cell r="K253">
            <v>50810076212307</v>
          </cell>
          <cell r="L253">
            <v>30810076212303</v>
          </cell>
          <cell r="M253"/>
          <cell r="N253">
            <v>60</v>
          </cell>
          <cell r="O253">
            <v>7.99</v>
          </cell>
          <cell r="P253">
            <v>3.9950000000000001</v>
          </cell>
        </row>
        <row r="254">
          <cell r="F254" t="str">
            <v>LL-11-3096</v>
          </cell>
          <cell r="G254" t="str">
            <v>Clickwick 7.5ml Single - Vanilla Tangerine</v>
          </cell>
          <cell r="H254" t="str">
            <v>Y</v>
          </cell>
          <cell r="I254" t="str">
            <v>231</v>
          </cell>
          <cell r="J254">
            <v>810076212319</v>
          </cell>
          <cell r="K254">
            <v>50810076212314</v>
          </cell>
          <cell r="L254">
            <v>30810076212310</v>
          </cell>
          <cell r="M254">
            <v>6</v>
          </cell>
          <cell r="N254">
            <v>12</v>
          </cell>
          <cell r="O254">
            <v>7.99</v>
          </cell>
          <cell r="P254">
            <v>3.9950000000000001</v>
          </cell>
        </row>
        <row r="255">
          <cell r="F255" t="str">
            <v>LL-11-3097</v>
          </cell>
          <cell r="G255" t="str">
            <v>Clickwick 7.5ml Single - Crisp Green Apple</v>
          </cell>
          <cell r="H255" t="str">
            <v>Y</v>
          </cell>
          <cell r="I255" t="str">
            <v>232</v>
          </cell>
          <cell r="J255">
            <v>810076212326</v>
          </cell>
          <cell r="K255">
            <v>50810076212321</v>
          </cell>
          <cell r="L255">
            <v>30810076212327</v>
          </cell>
          <cell r="M255">
            <v>6</v>
          </cell>
          <cell r="N255">
            <v>12</v>
          </cell>
          <cell r="O255">
            <v>7.99</v>
          </cell>
          <cell r="P255">
            <v>3.9950000000000001</v>
          </cell>
        </row>
        <row r="256">
          <cell r="F256" t="str">
            <v>LL-11-3098</v>
          </cell>
          <cell r="G256" t="str">
            <v>Clickwick 7.5ml Single - Rose &amp; Pink Pepper [Bubble Bag]</v>
          </cell>
          <cell r="H256" t="str">
            <v>Y</v>
          </cell>
          <cell r="I256" t="str">
            <v>233</v>
          </cell>
          <cell r="J256">
            <v>810076212333</v>
          </cell>
          <cell r="K256">
            <v>50810076212338</v>
          </cell>
          <cell r="L256">
            <v>30810076212334</v>
          </cell>
          <cell r="M256"/>
          <cell r="N256">
            <v>60</v>
          </cell>
          <cell r="O256">
            <v>7.99</v>
          </cell>
          <cell r="P256">
            <v>3.9950000000000001</v>
          </cell>
        </row>
        <row r="257">
          <cell r="F257" t="str">
            <v>LL-11-3099</v>
          </cell>
          <cell r="G257" t="str">
            <v>Clickwick 7.5ml Single - Spiced Orange</v>
          </cell>
          <cell r="H257" t="str">
            <v>Y</v>
          </cell>
          <cell r="I257" t="str">
            <v>234</v>
          </cell>
          <cell r="J257">
            <v>810076212340</v>
          </cell>
          <cell r="K257">
            <v>50810076212345</v>
          </cell>
          <cell r="L257">
            <v>30810076212341</v>
          </cell>
          <cell r="M257">
            <v>6</v>
          </cell>
          <cell r="N257">
            <v>12</v>
          </cell>
          <cell r="O257">
            <v>7.99</v>
          </cell>
          <cell r="P257">
            <v>3.9950000000000001</v>
          </cell>
        </row>
        <row r="258">
          <cell r="F258" t="str">
            <v>LL-11-3100</v>
          </cell>
          <cell r="G258" t="str">
            <v>Clickwick 7.5ml Single - Freesia Fields [Bubble Bag]</v>
          </cell>
          <cell r="H258" t="str">
            <v>Y</v>
          </cell>
          <cell r="I258" t="str">
            <v>235</v>
          </cell>
          <cell r="J258">
            <v>810076212357</v>
          </cell>
          <cell r="K258">
            <v>50810076212352</v>
          </cell>
          <cell r="L258">
            <v>30810076212358</v>
          </cell>
          <cell r="M258"/>
          <cell r="N258">
            <v>60</v>
          </cell>
          <cell r="O258">
            <v>7.99</v>
          </cell>
          <cell r="P258">
            <v>3.9950000000000001</v>
          </cell>
        </row>
        <row r="259">
          <cell r="F259" t="str">
            <v>LL-11-3101</v>
          </cell>
          <cell r="G259" t="str">
            <v>Clickwick 7.5ml Single - Aspen Breeze</v>
          </cell>
          <cell r="H259" t="str">
            <v>Y</v>
          </cell>
          <cell r="I259" t="str">
            <v>236</v>
          </cell>
          <cell r="J259">
            <v>810076212364</v>
          </cell>
          <cell r="K259">
            <v>50810076212369</v>
          </cell>
          <cell r="L259">
            <v>30810076212365</v>
          </cell>
          <cell r="M259">
            <v>6</v>
          </cell>
          <cell r="N259">
            <v>12</v>
          </cell>
          <cell r="O259">
            <v>7.99</v>
          </cell>
          <cell r="P259">
            <v>3.9950000000000001</v>
          </cell>
        </row>
        <row r="260">
          <cell r="F260" t="str">
            <v>LL-11-3345</v>
          </cell>
          <cell r="G260" t="str">
            <v>Clickwick 7.5ml Single - Warm Mahogony [Bubble Bag]</v>
          </cell>
          <cell r="H260" t="str">
            <v>N</v>
          </cell>
          <cell r="I260" t="str">
            <v>539</v>
          </cell>
          <cell r="J260">
            <v>810076215396</v>
          </cell>
          <cell r="K260">
            <v>50810076215391</v>
          </cell>
          <cell r="L260">
            <v>30810076215397</v>
          </cell>
          <cell r="M260"/>
          <cell r="N260">
            <v>60</v>
          </cell>
          <cell r="O260">
            <v>7.99</v>
          </cell>
          <cell r="P260">
            <v>3.9950000000000001</v>
          </cell>
        </row>
        <row r="261">
          <cell r="F261" t="str">
            <v>LL-11-3346</v>
          </cell>
          <cell r="G261" t="str">
            <v>Clickwick 7.5ml Single - Frosted Fir [Bubble Bag]</v>
          </cell>
          <cell r="H261" t="str">
            <v>N</v>
          </cell>
          <cell r="I261" t="str">
            <v>540</v>
          </cell>
          <cell r="J261">
            <v>810076215402</v>
          </cell>
          <cell r="K261">
            <v>50810076215407</v>
          </cell>
          <cell r="L261">
            <v>30810076215403</v>
          </cell>
          <cell r="M261"/>
          <cell r="N261">
            <v>60</v>
          </cell>
          <cell r="O261">
            <v>7.99</v>
          </cell>
          <cell r="P261">
            <v>3.9950000000000001</v>
          </cell>
        </row>
        <row r="262">
          <cell r="F262" t="str">
            <v>LL-11-3347</v>
          </cell>
          <cell r="G262" t="str">
            <v>Clickwick 7.5ml Single - Midnight Berry [Bubble Bag]</v>
          </cell>
          <cell r="H262" t="str">
            <v>N</v>
          </cell>
          <cell r="I262" t="str">
            <v>541</v>
          </cell>
          <cell r="J262">
            <v>810076215419</v>
          </cell>
          <cell r="K262">
            <v>50810076215414</v>
          </cell>
          <cell r="L262">
            <v>30810076215410</v>
          </cell>
          <cell r="M262"/>
          <cell r="N262">
            <v>60</v>
          </cell>
          <cell r="O262">
            <v>7.99</v>
          </cell>
          <cell r="P262">
            <v>3.9950000000000001</v>
          </cell>
        </row>
        <row r="263">
          <cell r="F263" t="str">
            <v>LL-11-3348</v>
          </cell>
          <cell r="G263" t="str">
            <v>Clickwick 7.5ml Single - Coconut Hibiscus [Bubble Bag]</v>
          </cell>
          <cell r="H263" t="str">
            <v>N</v>
          </cell>
          <cell r="I263" t="str">
            <v>542</v>
          </cell>
          <cell r="J263">
            <v>810076215426</v>
          </cell>
          <cell r="K263">
            <v>50810076215421</v>
          </cell>
          <cell r="L263">
            <v>30810076215427</v>
          </cell>
          <cell r="M263"/>
          <cell r="N263">
            <v>60</v>
          </cell>
          <cell r="O263">
            <v>7.99</v>
          </cell>
          <cell r="P263">
            <v>3.9950000000000001</v>
          </cell>
        </row>
        <row r="264">
          <cell r="F264" t="str">
            <v>LL-11-3349</v>
          </cell>
          <cell r="G264" t="str">
            <v>Clickwick 7.5ml Single - Earthy Mango [Bubble Bag]</v>
          </cell>
          <cell r="H264" t="str">
            <v>N</v>
          </cell>
          <cell r="I264" t="str">
            <v>543</v>
          </cell>
          <cell r="J264">
            <v>810076215433</v>
          </cell>
          <cell r="K264">
            <v>50810076215438</v>
          </cell>
          <cell r="L264">
            <v>30810076215434</v>
          </cell>
          <cell r="M264"/>
          <cell r="N264">
            <v>60</v>
          </cell>
          <cell r="O264">
            <v>7.99</v>
          </cell>
          <cell r="P264">
            <v>3.9950000000000001</v>
          </cell>
        </row>
        <row r="265">
          <cell r="F265" t="str">
            <v>LL-11-3291</v>
          </cell>
          <cell r="G265" t="str">
            <v>Clickwick 7.5ml Single - Vanilla Cashmere [Bubble Bag]</v>
          </cell>
          <cell r="H265" t="str">
            <v>N</v>
          </cell>
          <cell r="I265" t="str">
            <v>477</v>
          </cell>
          <cell r="J265">
            <v>810076214771</v>
          </cell>
          <cell r="K265">
            <v>50810076214776</v>
          </cell>
          <cell r="L265">
            <v>30810076214772</v>
          </cell>
          <cell r="M265"/>
          <cell r="N265">
            <v>60</v>
          </cell>
          <cell r="O265">
            <v>7.99</v>
          </cell>
          <cell r="P265">
            <v>3.9950000000000001</v>
          </cell>
        </row>
        <row r="266">
          <cell r="F266" t="str">
            <v>LL-11-3440</v>
          </cell>
          <cell r="G266" t="str">
            <v>Clickwick 7.5ml Single - Autumn's Glow [Bubble Bag]</v>
          </cell>
          <cell r="H266" t="str">
            <v>N</v>
          </cell>
          <cell r="I266" t="str">
            <v>747</v>
          </cell>
          <cell r="J266">
            <v>810076217475</v>
          </cell>
          <cell r="K266">
            <v>50810076217470</v>
          </cell>
          <cell r="L266">
            <v>30810076217476</v>
          </cell>
          <cell r="M266"/>
          <cell r="N266">
            <v>60</v>
          </cell>
          <cell r="O266">
            <v>7.99</v>
          </cell>
          <cell r="P266">
            <v>3.9950000000000001</v>
          </cell>
        </row>
        <row r="267">
          <cell r="F267" t="str">
            <v>LL-11-3441</v>
          </cell>
          <cell r="G267" t="str">
            <v>Clickwick 7.5ml Single - Vanilla Plum Bliss [Bubble Bag]</v>
          </cell>
          <cell r="H267" t="str">
            <v>N</v>
          </cell>
          <cell r="I267" t="str">
            <v>748</v>
          </cell>
          <cell r="J267">
            <v>810076217482</v>
          </cell>
          <cell r="K267">
            <v>50810076217487</v>
          </cell>
          <cell r="L267">
            <v>30810076217483</v>
          </cell>
          <cell r="M267"/>
          <cell r="N267">
            <v>60</v>
          </cell>
          <cell r="O267">
            <v>7.99</v>
          </cell>
          <cell r="P267">
            <v>3.9950000000000001</v>
          </cell>
        </row>
        <row r="268">
          <cell r="F268" t="str">
            <v>LL-11-3442</v>
          </cell>
          <cell r="G268" t="str">
            <v>Clickwick 7.5ml Single - Pumpkin Spiced Latte [Bubble Bag]</v>
          </cell>
          <cell r="H268" t="str">
            <v>N</v>
          </cell>
          <cell r="I268" t="str">
            <v>749</v>
          </cell>
          <cell r="J268">
            <v>810076217499</v>
          </cell>
          <cell r="K268">
            <v>50810076217494</v>
          </cell>
          <cell r="L268">
            <v>30810076217490</v>
          </cell>
          <cell r="M268"/>
          <cell r="N268">
            <v>60</v>
          </cell>
          <cell r="O268">
            <v>7.99</v>
          </cell>
          <cell r="P268">
            <v>3.9950000000000001</v>
          </cell>
        </row>
        <row r="269">
          <cell r="F269" t="str">
            <v>LL-11-3443</v>
          </cell>
          <cell r="G269" t="str">
            <v>Clickwick 7.5ml Single - Fresh Picked Apples [Bubble Bag]</v>
          </cell>
          <cell r="H269" t="str">
            <v>N</v>
          </cell>
          <cell r="I269" t="str">
            <v>750</v>
          </cell>
          <cell r="J269">
            <v>810076217505</v>
          </cell>
          <cell r="K269">
            <v>50810076217500</v>
          </cell>
          <cell r="L269">
            <v>30810076217506</v>
          </cell>
          <cell r="M269"/>
          <cell r="N269">
            <v>60</v>
          </cell>
          <cell r="O269">
            <v>7.99</v>
          </cell>
          <cell r="P269">
            <v>3.9950000000000001</v>
          </cell>
        </row>
        <row r="270">
          <cell r="F270" t="str">
            <v>LL-11-3198</v>
          </cell>
          <cell r="G270" t="str">
            <v>ClickWick: Walk-in-the-Woods 3PK</v>
          </cell>
          <cell r="H270" t="str">
            <v>N</v>
          </cell>
          <cell r="I270" t="str">
            <v>368</v>
          </cell>
          <cell r="J270">
            <v>810076213682</v>
          </cell>
          <cell r="K270">
            <v>50810076213687</v>
          </cell>
          <cell r="L270">
            <v>30810076213683</v>
          </cell>
          <cell r="M270"/>
          <cell r="N270"/>
          <cell r="O270">
            <v>22.99</v>
          </cell>
          <cell r="P270">
            <v>11.494999999999999</v>
          </cell>
        </row>
        <row r="271">
          <cell r="F271" t="str">
            <v>LL-11-3199</v>
          </cell>
          <cell r="G271" t="str">
            <v>ClickWick: Herbal 3PK</v>
          </cell>
          <cell r="H271" t="str">
            <v>Y</v>
          </cell>
          <cell r="I271" t="str">
            <v>369</v>
          </cell>
          <cell r="J271">
            <v>810076213699</v>
          </cell>
          <cell r="K271">
            <v>50810076213694</v>
          </cell>
          <cell r="L271">
            <v>30810076213690</v>
          </cell>
          <cell r="M271"/>
          <cell r="N271"/>
          <cell r="O271">
            <v>22.99</v>
          </cell>
          <cell r="P271">
            <v>11.494999999999999</v>
          </cell>
        </row>
        <row r="272">
          <cell r="F272" t="str">
            <v>LL-11-3194</v>
          </cell>
          <cell r="G272" t="str">
            <v>ClickWick: In Bloom 3PK</v>
          </cell>
          <cell r="H272" t="str">
            <v>Y</v>
          </cell>
          <cell r="I272" t="str">
            <v>360</v>
          </cell>
          <cell r="J272">
            <v>810076213606</v>
          </cell>
          <cell r="K272">
            <v>50810076213601</v>
          </cell>
          <cell r="L272">
            <v>30810076213607</v>
          </cell>
          <cell r="M272"/>
          <cell r="N272"/>
          <cell r="O272">
            <v>22.99</v>
          </cell>
          <cell r="P272">
            <v>11.494999999999999</v>
          </cell>
        </row>
        <row r="273">
          <cell r="F273" t="str">
            <v>LL-11-3195</v>
          </cell>
          <cell r="G273" t="str">
            <v>ClickWick: Citrus Grove 3PK</v>
          </cell>
          <cell r="H273" t="str">
            <v>Y</v>
          </cell>
          <cell r="I273" t="str">
            <v>361</v>
          </cell>
          <cell r="J273">
            <v>810076213613</v>
          </cell>
          <cell r="K273">
            <v>50810076213618</v>
          </cell>
          <cell r="L273">
            <v>30810076213614</v>
          </cell>
          <cell r="M273"/>
          <cell r="N273"/>
          <cell r="O273">
            <v>22.99</v>
          </cell>
          <cell r="P273">
            <v>11.494999999999999</v>
          </cell>
        </row>
        <row r="274">
          <cell r="F274" t="str">
            <v>LL-11-3234</v>
          </cell>
          <cell r="G274" t="str">
            <v>ClickWick: Very Vanilla: 3PK</v>
          </cell>
          <cell r="H274" t="str">
            <v>N</v>
          </cell>
          <cell r="I274" t="str">
            <v>408</v>
          </cell>
          <cell r="J274">
            <v>810076214085</v>
          </cell>
          <cell r="K274">
            <v>50810076214080</v>
          </cell>
          <cell r="L274">
            <v>30810076214086</v>
          </cell>
          <cell r="M274"/>
          <cell r="N274"/>
          <cell r="O274">
            <v>22.99</v>
          </cell>
          <cell r="P274">
            <v>11.494999999999999</v>
          </cell>
        </row>
        <row r="275">
          <cell r="F275" t="str">
            <v>LL-11-3235</v>
          </cell>
          <cell r="G275" t="str">
            <v>ClickWick: Salted Coconut: 3PK</v>
          </cell>
          <cell r="H275" t="str">
            <v>N</v>
          </cell>
          <cell r="I275" t="str">
            <v>409</v>
          </cell>
          <cell r="J275">
            <v>810076214092</v>
          </cell>
          <cell r="K275">
            <v>50810076214097</v>
          </cell>
          <cell r="L275">
            <v>30810076214093</v>
          </cell>
          <cell r="M275"/>
          <cell r="N275"/>
          <cell r="O275">
            <v>22.99</v>
          </cell>
          <cell r="P275">
            <v>11.494999999999999</v>
          </cell>
        </row>
        <row r="276">
          <cell r="F276" t="str">
            <v>LL-11-3236</v>
          </cell>
          <cell r="G276" t="str">
            <v>ClickWick: Peach Velvet: 3PK</v>
          </cell>
          <cell r="H276" t="str">
            <v>N</v>
          </cell>
          <cell r="I276" t="str">
            <v>410</v>
          </cell>
          <cell r="J276">
            <v>810076214108</v>
          </cell>
          <cell r="K276">
            <v>50810076214103</v>
          </cell>
          <cell r="L276">
            <v>30810076214109</v>
          </cell>
          <cell r="M276"/>
          <cell r="N276"/>
          <cell r="O276">
            <v>22.99</v>
          </cell>
          <cell r="P276">
            <v>11.494999999999999</v>
          </cell>
        </row>
        <row r="277">
          <cell r="F277" t="str">
            <v>LL-11-3237</v>
          </cell>
          <cell r="G277" t="str">
            <v>ClickWick: Spiced Rose: 3PK</v>
          </cell>
          <cell r="H277" t="str">
            <v>N</v>
          </cell>
          <cell r="I277" t="str">
            <v>411</v>
          </cell>
          <cell r="J277">
            <v>810076214115</v>
          </cell>
          <cell r="K277">
            <v>50810076214110</v>
          </cell>
          <cell r="L277">
            <v>30810076214116</v>
          </cell>
          <cell r="M277"/>
          <cell r="N277"/>
          <cell r="O277">
            <v>22.99</v>
          </cell>
          <cell r="P277">
            <v>11.494999999999999</v>
          </cell>
        </row>
        <row r="278">
          <cell r="F278" t="str">
            <v>LL-11-3240</v>
          </cell>
          <cell r="G278" t="str">
            <v>ClickWick: Frosted Fir: 3PK</v>
          </cell>
          <cell r="H278" t="str">
            <v>N</v>
          </cell>
          <cell r="I278" t="str">
            <v>414</v>
          </cell>
          <cell r="J278">
            <v>810076214146</v>
          </cell>
          <cell r="K278">
            <v>50810076214141</v>
          </cell>
          <cell r="L278">
            <v>30810076214147</v>
          </cell>
          <cell r="M278"/>
          <cell r="N278"/>
          <cell r="O278">
            <v>22.99</v>
          </cell>
          <cell r="P278">
            <v>11.494999999999999</v>
          </cell>
        </row>
        <row r="279">
          <cell r="F279" t="str">
            <v>LL-11-3241</v>
          </cell>
          <cell r="G279" t="str">
            <v>ClickWick: Warm Mahogany: 3PK</v>
          </cell>
          <cell r="H279" t="str">
            <v>N</v>
          </cell>
          <cell r="I279" t="str">
            <v>415</v>
          </cell>
          <cell r="J279">
            <v>810076214153</v>
          </cell>
          <cell r="K279">
            <v>50810076214158</v>
          </cell>
          <cell r="L279">
            <v>30810076214154</v>
          </cell>
          <cell r="M279"/>
          <cell r="N279"/>
          <cell r="O279">
            <v>22.99</v>
          </cell>
          <cell r="P279">
            <v>11.494999999999999</v>
          </cell>
        </row>
        <row r="280">
          <cell r="F280" t="str">
            <v>LL-11-3306</v>
          </cell>
          <cell r="G280" t="str">
            <v>ClickWick: Vanilla Cashmere: 3PK</v>
          </cell>
          <cell r="H280" t="str">
            <v>N</v>
          </cell>
          <cell r="I280" t="str">
            <v>493</v>
          </cell>
          <cell r="J280">
            <v>810076214931</v>
          </cell>
          <cell r="K280">
            <v>50810076214936</v>
          </cell>
          <cell r="L280">
            <v>30810076214932</v>
          </cell>
          <cell r="M280"/>
          <cell r="N280"/>
          <cell r="O280">
            <v>22.99</v>
          </cell>
          <cell r="P280">
            <v>11.494999999999999</v>
          </cell>
        </row>
        <row r="281">
          <cell r="F281" t="str">
            <v>LL-11-3006</v>
          </cell>
          <cell r="G281" t="str">
            <v>Clickwick 2 Pack - Desert Canyon Air &amp; Salted Coconut (Target)</v>
          </cell>
          <cell r="H281" t="str">
            <v>Y</v>
          </cell>
          <cell r="I281" t="str">
            <v>207</v>
          </cell>
          <cell r="J281">
            <v>810076212074</v>
          </cell>
          <cell r="K281">
            <v>50810076212079</v>
          </cell>
          <cell r="L281">
            <v>30810076212075</v>
          </cell>
          <cell r="M281">
            <v>6</v>
          </cell>
          <cell r="N281">
            <v>60</v>
          </cell>
          <cell r="O281">
            <v>9.99</v>
          </cell>
          <cell r="P281">
            <v>4.9950000000000001</v>
          </cell>
        </row>
        <row r="282">
          <cell r="F282" t="str">
            <v>LL-11-3007</v>
          </cell>
          <cell r="G282" t="str">
            <v>Clickwick 2 Pack - Vanilla Tangerine &amp; Peach Linen (Target)</v>
          </cell>
          <cell r="H282" t="str">
            <v>Y</v>
          </cell>
          <cell r="I282" t="str">
            <v>208</v>
          </cell>
          <cell r="J282">
            <v>810076212081</v>
          </cell>
          <cell r="K282">
            <v>50810076212086</v>
          </cell>
          <cell r="L282">
            <v>30810076212082</v>
          </cell>
          <cell r="M282">
            <v>6</v>
          </cell>
          <cell r="N282">
            <v>60</v>
          </cell>
          <cell r="O282">
            <v>9.99</v>
          </cell>
          <cell r="P282">
            <v>4.9950000000000001</v>
          </cell>
        </row>
        <row r="283">
          <cell r="F283" t="str">
            <v>LL-11-3008</v>
          </cell>
          <cell r="G283" t="str">
            <v>Clickwick 4 PK - Sun-Kissed Escape ClickWick Collection</v>
          </cell>
          <cell r="H283" t="str">
            <v>Y</v>
          </cell>
          <cell r="I283" t="str">
            <v>218</v>
          </cell>
          <cell r="J283">
            <v>810076212180</v>
          </cell>
          <cell r="K283">
            <v>50810076212185</v>
          </cell>
          <cell r="L283">
            <v>30810076212181</v>
          </cell>
          <cell r="M283">
            <v>6</v>
          </cell>
          <cell r="N283">
            <v>48</v>
          </cell>
          <cell r="O283">
            <v>26.99</v>
          </cell>
          <cell r="P283">
            <v>13.494999999999999</v>
          </cell>
        </row>
        <row r="284">
          <cell r="F284" t="str">
            <v>LL-11-3064</v>
          </cell>
          <cell r="G284" t="str">
            <v>Clickwick 4 PK - Lush Earth ClickWick Collection</v>
          </cell>
          <cell r="H284" t="str">
            <v>Y</v>
          </cell>
          <cell r="I284" t="str">
            <v>219</v>
          </cell>
          <cell r="J284">
            <v>810076212197</v>
          </cell>
          <cell r="K284">
            <v>50810076212192</v>
          </cell>
          <cell r="L284">
            <v>30810076212198</v>
          </cell>
          <cell r="M284">
            <v>6</v>
          </cell>
          <cell r="N284">
            <v>48</v>
          </cell>
          <cell r="O284">
            <v>26.99</v>
          </cell>
          <cell r="P284">
            <v>13.494999999999999</v>
          </cell>
        </row>
        <row r="285">
          <cell r="F285" t="str">
            <v>LL-11-3292</v>
          </cell>
          <cell r="G285" t="str">
            <v>Fall Clickwick 4PK</v>
          </cell>
          <cell r="H285" t="str">
            <v>Y</v>
          </cell>
          <cell r="I285" t="str">
            <v>478</v>
          </cell>
          <cell r="J285">
            <v>810076214788</v>
          </cell>
          <cell r="K285">
            <v>50810076214783</v>
          </cell>
          <cell r="L285">
            <v>30810076214789</v>
          </cell>
          <cell r="M285">
            <v>6</v>
          </cell>
          <cell r="N285">
            <v>48</v>
          </cell>
          <cell r="O285">
            <v>29.99</v>
          </cell>
          <cell r="P285">
            <v>14.994999999999999</v>
          </cell>
        </row>
        <row r="286">
          <cell r="F286" t="str">
            <v>LL-11-3103</v>
          </cell>
          <cell r="G286" t="str">
            <v>Winter Clickwick 4PK</v>
          </cell>
          <cell r="H286" t="str">
            <v>Y</v>
          </cell>
          <cell r="I286" t="str">
            <v>242</v>
          </cell>
          <cell r="J286">
            <v>810076212425</v>
          </cell>
          <cell r="K286">
            <v>50810076212420</v>
          </cell>
          <cell r="L286">
            <v>30810076212426</v>
          </cell>
          <cell r="M286">
            <v>6</v>
          </cell>
          <cell r="N286">
            <v>48</v>
          </cell>
          <cell r="O286">
            <v>29.99</v>
          </cell>
          <cell r="P286">
            <v>14.994999999999999</v>
          </cell>
        </row>
        <row r="287">
          <cell r="F287">
            <v>993014</v>
          </cell>
          <cell r="G287" t="str">
            <v>BNC FlowArt Assorted Shipper Display (Spring 2025)</v>
          </cell>
          <cell r="H287" t="str">
            <v>N</v>
          </cell>
          <cell r="I287" t="str">
            <v>213</v>
          </cell>
          <cell r="J287">
            <v>810076212135</v>
          </cell>
          <cell r="K287">
            <v>50810076212130</v>
          </cell>
          <cell r="L287">
            <v>30810076212136</v>
          </cell>
          <cell r="M287"/>
          <cell r="N287"/>
          <cell r="O287">
            <v>179.98</v>
          </cell>
          <cell r="P287">
            <v>89.99</v>
          </cell>
        </row>
        <row r="288">
          <cell r="F288">
            <v>165001</v>
          </cell>
          <cell r="G288" t="str">
            <v>FlowArt: Dot-Pop, Natural Flow</v>
          </cell>
          <cell r="H288" t="str">
            <v>Y</v>
          </cell>
          <cell r="I288" t="str">
            <v>146</v>
          </cell>
          <cell r="J288">
            <v>810076211466</v>
          </cell>
          <cell r="K288">
            <v>50810076211461</v>
          </cell>
          <cell r="L288">
            <v>30810076211467</v>
          </cell>
          <cell r="M288">
            <v>4</v>
          </cell>
          <cell r="N288">
            <v>12</v>
          </cell>
          <cell r="O288">
            <v>12.99</v>
          </cell>
          <cell r="P288">
            <v>6.4950000000000001</v>
          </cell>
        </row>
        <row r="289">
          <cell r="F289">
            <v>165006</v>
          </cell>
          <cell r="G289" t="str">
            <v>FlowArt: Illuminate &amp; Create, Wildlife</v>
          </cell>
          <cell r="H289" t="str">
            <v>Y</v>
          </cell>
          <cell r="I289" t="str">
            <v>151</v>
          </cell>
          <cell r="J289">
            <v>810076211510</v>
          </cell>
          <cell r="K289">
            <v>50810076211515</v>
          </cell>
          <cell r="L289">
            <v>30810076211511</v>
          </cell>
          <cell r="M289">
            <v>4</v>
          </cell>
          <cell r="N289">
            <v>12</v>
          </cell>
          <cell r="O289">
            <v>12.99</v>
          </cell>
          <cell r="P289">
            <v>6.4950000000000001</v>
          </cell>
        </row>
        <row r="290">
          <cell r="F290">
            <v>165009</v>
          </cell>
          <cell r="G290" t="str">
            <v>FlowArt: Illuminate &amp; Create, Foliage and Flowers</v>
          </cell>
          <cell r="H290" t="str">
            <v>Y</v>
          </cell>
          <cell r="I290" t="str">
            <v>154</v>
          </cell>
          <cell r="J290">
            <v>810076211541</v>
          </cell>
          <cell r="K290">
            <v>50810076211546</v>
          </cell>
          <cell r="L290">
            <v>30810076211542</v>
          </cell>
          <cell r="M290">
            <v>4</v>
          </cell>
          <cell r="N290">
            <v>12</v>
          </cell>
          <cell r="O290">
            <v>12.99</v>
          </cell>
          <cell r="P290">
            <v>6.4950000000000001</v>
          </cell>
        </row>
        <row r="291">
          <cell r="F291">
            <v>165007</v>
          </cell>
          <cell r="G291" t="str">
            <v>FlowArt: Pogo-Dot, Nature</v>
          </cell>
          <cell r="H291" t="str">
            <v>Y</v>
          </cell>
          <cell r="I291" t="str">
            <v>152</v>
          </cell>
          <cell r="J291">
            <v>810076211527</v>
          </cell>
          <cell r="K291">
            <v>50810076211522</v>
          </cell>
          <cell r="L291">
            <v>30810076211528</v>
          </cell>
          <cell r="M291">
            <v>4</v>
          </cell>
          <cell r="N291">
            <v>12</v>
          </cell>
          <cell r="O291">
            <v>12.99</v>
          </cell>
          <cell r="P291">
            <v>6.4950000000000001</v>
          </cell>
        </row>
        <row r="292">
          <cell r="F292" t="str">
            <v>LL-16-3152</v>
          </cell>
          <cell r="G292" t="str">
            <v>FlowArt: Pogo-Dot, Groovy Vibes</v>
          </cell>
          <cell r="H292" t="str">
            <v>Y</v>
          </cell>
          <cell r="I292" t="str">
            <v>295</v>
          </cell>
          <cell r="J292">
            <v>810076212951</v>
          </cell>
          <cell r="K292">
            <v>50810076212956</v>
          </cell>
          <cell r="L292">
            <v>30810076212952</v>
          </cell>
          <cell r="M292">
            <v>4</v>
          </cell>
          <cell r="N292">
            <v>12</v>
          </cell>
          <cell r="O292">
            <v>12.99</v>
          </cell>
          <cell r="P292">
            <v>6.4950000000000001</v>
          </cell>
        </row>
        <row r="293">
          <cell r="F293" t="str">
            <v>LL-16-3150</v>
          </cell>
          <cell r="G293" t="str">
            <v>FlowArt: Stamp by Shape, Secret Garden</v>
          </cell>
          <cell r="H293" t="str">
            <v>Y</v>
          </cell>
          <cell r="I293" t="str">
            <v>293</v>
          </cell>
          <cell r="J293">
            <v>810076212937</v>
          </cell>
          <cell r="K293">
            <v>50810076212932</v>
          </cell>
          <cell r="L293">
            <v>30810076212938</v>
          </cell>
          <cell r="M293">
            <v>4</v>
          </cell>
          <cell r="N293">
            <v>12</v>
          </cell>
          <cell r="O293">
            <v>12.99</v>
          </cell>
          <cell r="P293">
            <v>6.4950000000000001</v>
          </cell>
        </row>
        <row r="294">
          <cell r="F294">
            <v>165014</v>
          </cell>
          <cell r="G294" t="str">
            <v>FlowArt: Stamp by Shape, Mediterranean</v>
          </cell>
          <cell r="H294" t="str">
            <v>Y</v>
          </cell>
          <cell r="I294" t="str">
            <v>159</v>
          </cell>
          <cell r="J294">
            <v>810076211596</v>
          </cell>
          <cell r="K294">
            <v>50810076211591</v>
          </cell>
          <cell r="L294">
            <v>30810076211597</v>
          </cell>
          <cell r="M294">
            <v>4</v>
          </cell>
          <cell r="N294">
            <v>12</v>
          </cell>
          <cell r="O294">
            <v>12.99</v>
          </cell>
          <cell r="P294">
            <v>6.4950000000000001</v>
          </cell>
        </row>
        <row r="295">
          <cell r="F295">
            <v>165008</v>
          </cell>
          <cell r="G295" t="str">
            <v>FlowArt: Dot-By-Letter, Landscapes</v>
          </cell>
          <cell r="H295" t="str">
            <v>Y</v>
          </cell>
          <cell r="I295" t="str">
            <v>153</v>
          </cell>
          <cell r="J295">
            <v>810076211534</v>
          </cell>
          <cell r="K295">
            <v>50810076211539</v>
          </cell>
          <cell r="L295">
            <v>30810076211535</v>
          </cell>
          <cell r="M295">
            <v>4</v>
          </cell>
          <cell r="N295">
            <v>12</v>
          </cell>
          <cell r="O295">
            <v>12.99</v>
          </cell>
          <cell r="P295">
            <v>6.4950000000000001</v>
          </cell>
        </row>
        <row r="296">
          <cell r="F296">
            <v>165005</v>
          </cell>
          <cell r="G296" t="str">
            <v>FlowArt: Dot-By-Letter, Botanicals</v>
          </cell>
          <cell r="H296" t="str">
            <v>Y</v>
          </cell>
          <cell r="I296" t="str">
            <v>150</v>
          </cell>
          <cell r="J296">
            <v>810076211503</v>
          </cell>
          <cell r="K296">
            <v>50810076211508</v>
          </cell>
          <cell r="L296">
            <v>30810076211504</v>
          </cell>
          <cell r="M296">
            <v>4</v>
          </cell>
          <cell r="N296">
            <v>12</v>
          </cell>
          <cell r="O296">
            <v>12.99</v>
          </cell>
          <cell r="P296">
            <v>6.4950000000000001</v>
          </cell>
        </row>
        <row r="297">
          <cell r="F297" t="str">
            <v>LL-16-3149</v>
          </cell>
          <cell r="G297" t="str">
            <v>FlowArt: Dot-By-Letter, Cozy Cottage</v>
          </cell>
          <cell r="H297" t="str">
            <v>Y</v>
          </cell>
          <cell r="I297" t="str">
            <v>292</v>
          </cell>
          <cell r="J297">
            <v>810076212920</v>
          </cell>
          <cell r="K297">
            <v>50810076212925</v>
          </cell>
          <cell r="L297">
            <v>30810076212921</v>
          </cell>
          <cell r="M297">
            <v>4</v>
          </cell>
          <cell r="N297">
            <v>12</v>
          </cell>
          <cell r="O297">
            <v>12.99</v>
          </cell>
          <cell r="P297">
            <v>6.4950000000000001</v>
          </cell>
        </row>
        <row r="298">
          <cell r="F298" t="str">
            <v>LL-16-3224</v>
          </cell>
          <cell r="G298" t="str">
            <v>FlowArt: Dot-By-Letter, Everyday Inspiration</v>
          </cell>
          <cell r="H298" t="str">
            <v>Y</v>
          </cell>
          <cell r="I298" t="str">
            <v>396</v>
          </cell>
          <cell r="J298">
            <v>810076213965</v>
          </cell>
          <cell r="K298">
            <v>50810076213960</v>
          </cell>
          <cell r="L298">
            <v>30810076213966</v>
          </cell>
          <cell r="M298">
            <v>4</v>
          </cell>
          <cell r="N298">
            <v>12</v>
          </cell>
          <cell r="O298">
            <v>12.99</v>
          </cell>
          <cell r="P298">
            <v>6.4950000000000001</v>
          </cell>
        </row>
        <row r="299">
          <cell r="F299" t="str">
            <v>LL-16-3225</v>
          </cell>
          <cell r="G299" t="str">
            <v>FlowArt: Dot-By-Letter, Wags &amp; Whiskers</v>
          </cell>
          <cell r="H299" t="str">
            <v>Y</v>
          </cell>
          <cell r="I299" t="str">
            <v>397</v>
          </cell>
          <cell r="J299">
            <v>810076213972</v>
          </cell>
          <cell r="K299">
            <v>50810076213977</v>
          </cell>
          <cell r="L299">
            <v>30810076213973</v>
          </cell>
          <cell r="M299">
            <v>4</v>
          </cell>
          <cell r="N299">
            <v>12</v>
          </cell>
          <cell r="O299">
            <v>12.99</v>
          </cell>
          <cell r="P299">
            <v>6.4950000000000001</v>
          </cell>
        </row>
        <row r="300">
          <cell r="F300" t="str">
            <v>LL-16-3243</v>
          </cell>
          <cell r="G300" t="str">
            <v>FlowArt: Dot-By-Letter, Day at the Beach</v>
          </cell>
          <cell r="H300" t="str">
            <v>Y</v>
          </cell>
          <cell r="I300" t="str">
            <v>417</v>
          </cell>
          <cell r="J300">
            <v>810076214177</v>
          </cell>
          <cell r="K300">
            <v>50810076214172</v>
          </cell>
          <cell r="L300">
            <v>30810076214178</v>
          </cell>
          <cell r="M300">
            <v>4</v>
          </cell>
          <cell r="N300">
            <v>12</v>
          </cell>
          <cell r="O300">
            <v>12.99</v>
          </cell>
          <cell r="P300">
            <v>6.4950000000000001</v>
          </cell>
        </row>
        <row r="301">
          <cell r="F301" t="str">
            <v>LL-16-3493</v>
          </cell>
          <cell r="G301" t="str">
            <v>FlowArt: Dot-By-Letter, Sunny Days</v>
          </cell>
          <cell r="H301" t="str">
            <v>Y</v>
          </cell>
          <cell r="I301" t="str">
            <v>676</v>
          </cell>
          <cell r="J301">
            <v>810076216768</v>
          </cell>
          <cell r="K301">
            <v>50810076216763</v>
          </cell>
          <cell r="L301">
            <v>30810076216769</v>
          </cell>
          <cell r="M301">
            <v>4</v>
          </cell>
          <cell r="N301">
            <v>12</v>
          </cell>
          <cell r="O301">
            <v>12.99</v>
          </cell>
          <cell r="P301">
            <v>6.4950000000000001</v>
          </cell>
        </row>
        <row r="302">
          <cell r="F302" t="str">
            <v>LL-16-3407</v>
          </cell>
          <cell r="G302" t="str">
            <v>FlowArt: Dot-By-Letter, Fresh Picked [Pastel]</v>
          </cell>
          <cell r="H302" t="str">
            <v>Y</v>
          </cell>
          <cell r="I302" t="str">
            <v>607</v>
          </cell>
          <cell r="J302">
            <v>810076216072</v>
          </cell>
          <cell r="K302">
            <v>50810076216077</v>
          </cell>
          <cell r="L302">
            <v>30810076216073</v>
          </cell>
          <cell r="M302">
            <v>4</v>
          </cell>
          <cell r="N302">
            <v>12</v>
          </cell>
          <cell r="O302">
            <v>12.99</v>
          </cell>
          <cell r="P302">
            <v>6.4950000000000001</v>
          </cell>
        </row>
        <row r="303">
          <cell r="F303" t="str">
            <v>LL-16-3480</v>
          </cell>
          <cell r="G303" t="str">
            <v>FlowArt: Dot-By-Letter, Beautiful in Bloom [Pastel]</v>
          </cell>
          <cell r="H303" t="str">
            <v>Y</v>
          </cell>
          <cell r="I303" t="str">
            <v>665</v>
          </cell>
          <cell r="J303">
            <v>810076216652</v>
          </cell>
          <cell r="K303">
            <v>50810076216657</v>
          </cell>
          <cell r="L303">
            <v>30810076216653</v>
          </cell>
          <cell r="M303">
            <v>4</v>
          </cell>
          <cell r="N303">
            <v>12</v>
          </cell>
          <cell r="O303">
            <v>12.99</v>
          </cell>
          <cell r="P303">
            <v>6.4950000000000001</v>
          </cell>
        </row>
        <row r="304">
          <cell r="F304" t="str">
            <v>LL-16-3481</v>
          </cell>
          <cell r="G304" t="str">
            <v>FlowArt: Dot-By-Letter, In the Garden [Pastel]</v>
          </cell>
          <cell r="H304" t="str">
            <v>Y</v>
          </cell>
          <cell r="I304" t="str">
            <v>666</v>
          </cell>
          <cell r="J304">
            <v>810076216669</v>
          </cell>
          <cell r="K304">
            <v>50810076216664</v>
          </cell>
          <cell r="L304">
            <v>30810076216660</v>
          </cell>
          <cell r="M304">
            <v>4</v>
          </cell>
          <cell r="N304">
            <v>12</v>
          </cell>
          <cell r="O304">
            <v>12.99</v>
          </cell>
          <cell r="P304">
            <v>6.4950000000000001</v>
          </cell>
        </row>
        <row r="305">
          <cell r="F305" t="str">
            <v>LL-16-3552</v>
          </cell>
          <cell r="G305" t="str">
            <v>FlowArt: Dot-By-Letter, Sports &amp; Outdoor Adventure</v>
          </cell>
          <cell r="H305" t="str">
            <v>N</v>
          </cell>
          <cell r="I305" t="str">
            <v/>
          </cell>
          <cell r="J305"/>
          <cell r="K305"/>
          <cell r="L305"/>
          <cell r="M305">
            <v>4</v>
          </cell>
          <cell r="N305">
            <v>12</v>
          </cell>
          <cell r="O305">
            <v>12.99</v>
          </cell>
          <cell r="P305">
            <v>6.4950000000000001</v>
          </cell>
        </row>
        <row r="306">
          <cell r="F306" t="str">
            <v>LL-16-3618</v>
          </cell>
          <cell r="G306" t="str">
            <v>FlowArt: Dot-by-Letter, Electric Reef [Neon]</v>
          </cell>
          <cell r="H306" t="str">
            <v>N</v>
          </cell>
          <cell r="I306" t="str">
            <v>738</v>
          </cell>
          <cell r="J306">
            <v>50810076217388</v>
          </cell>
          <cell r="K306">
            <v>30810076217384</v>
          </cell>
          <cell r="M306">
            <v>4</v>
          </cell>
          <cell r="N306">
            <v>12</v>
          </cell>
          <cell r="O306">
            <v>12.99</v>
          </cell>
          <cell r="P306">
            <v>6.4950000000000001</v>
          </cell>
        </row>
        <row r="307">
          <cell r="F307" t="str">
            <v>LL-16-3433</v>
          </cell>
          <cell r="G307" t="str">
            <v>FlowArt: Dot-By-Letter, Birds Song in Bloom [Metallic]</v>
          </cell>
          <cell r="H307" t="str">
            <v>Y</v>
          </cell>
          <cell r="I307" t="str">
            <v>633</v>
          </cell>
          <cell r="J307">
            <v>810076216331</v>
          </cell>
          <cell r="K307">
            <v>50810076216336</v>
          </cell>
          <cell r="L307">
            <v>30810076216332</v>
          </cell>
          <cell r="M307">
            <v>4</v>
          </cell>
          <cell r="N307">
            <v>12</v>
          </cell>
          <cell r="O307">
            <v>12.99</v>
          </cell>
          <cell r="P307">
            <v>6.4950000000000001</v>
          </cell>
        </row>
        <row r="308">
          <cell r="F308" t="str">
            <v>LL-16-3148</v>
          </cell>
          <cell r="G308" t="str">
            <v>FlowArt: Dot-By-Letter, Into the Galaxy [Metallic ink]</v>
          </cell>
          <cell r="H308" t="str">
            <v>Y</v>
          </cell>
          <cell r="I308" t="str">
            <v>291</v>
          </cell>
          <cell r="J308">
            <v>810076212913</v>
          </cell>
          <cell r="K308">
            <v>50810076212918</v>
          </cell>
          <cell r="L308">
            <v>30810076212914</v>
          </cell>
          <cell r="M308">
            <v>4</v>
          </cell>
          <cell r="N308">
            <v>12</v>
          </cell>
          <cell r="O308">
            <v>12.99</v>
          </cell>
          <cell r="P308">
            <v>6.4950000000000001</v>
          </cell>
        </row>
        <row r="309">
          <cell r="F309" t="str">
            <v>LL-16-3153</v>
          </cell>
          <cell r="G309" t="str">
            <v>FlowArt: Dot-By-Letter, Into the Deep [Metallic ink]</v>
          </cell>
          <cell r="H309" t="str">
            <v>Y</v>
          </cell>
          <cell r="I309" t="str">
            <v>296</v>
          </cell>
          <cell r="J309">
            <v>810076212968</v>
          </cell>
          <cell r="K309">
            <v>50810076212963</v>
          </cell>
          <cell r="L309">
            <v>30810076212969</v>
          </cell>
          <cell r="M309">
            <v>4</v>
          </cell>
          <cell r="N309">
            <v>12</v>
          </cell>
          <cell r="O309">
            <v>12.99</v>
          </cell>
          <cell r="P309">
            <v>6.4950000000000001</v>
          </cell>
        </row>
        <row r="310">
          <cell r="F310" t="str">
            <v>LL-16-3299</v>
          </cell>
          <cell r="G310" t="str">
            <v>FlowArt: Dot-By-Letter, Moonlit Garden [Metallic ink]</v>
          </cell>
          <cell r="H310" t="str">
            <v>Y</v>
          </cell>
          <cell r="I310" t="str">
            <v>485</v>
          </cell>
          <cell r="J310">
            <v>810076214856</v>
          </cell>
          <cell r="K310">
            <v>50810076214851</v>
          </cell>
          <cell r="L310">
            <v>30810076214857</v>
          </cell>
          <cell r="M310">
            <v>4</v>
          </cell>
          <cell r="N310">
            <v>12</v>
          </cell>
          <cell r="O310">
            <v>12.99</v>
          </cell>
          <cell r="P310">
            <v>6.4950000000000001</v>
          </cell>
        </row>
        <row r="311">
          <cell r="F311" t="str">
            <v>LL-16-3300</v>
          </cell>
          <cell r="G311" t="str">
            <v>FlowArt: Dot-By-Letter, Majestic Earth [Metallic ink]</v>
          </cell>
          <cell r="H311" t="str">
            <v>Y</v>
          </cell>
          <cell r="I311" t="str">
            <v>486</v>
          </cell>
          <cell r="J311">
            <v>810076214863</v>
          </cell>
          <cell r="K311">
            <v>50810076214868</v>
          </cell>
          <cell r="L311">
            <v>30810076214864</v>
          </cell>
          <cell r="M311">
            <v>4</v>
          </cell>
          <cell r="N311">
            <v>12</v>
          </cell>
          <cell r="O311">
            <v>12.99</v>
          </cell>
          <cell r="P311">
            <v>6.4950000000000001</v>
          </cell>
        </row>
        <row r="312">
          <cell r="F312" t="str">
            <v>LL-16-3148-V3</v>
          </cell>
          <cell r="G312" t="str">
            <v>FlowArt: Dot-By-Letter, Into the Galaxy [Metallic ink]</v>
          </cell>
          <cell r="H312" t="str">
            <v>N</v>
          </cell>
          <cell r="I312" t="str">
            <v/>
          </cell>
          <cell r="J312"/>
          <cell r="K312"/>
          <cell r="L312"/>
          <cell r="M312">
            <v>4</v>
          </cell>
          <cell r="N312">
            <v>12</v>
          </cell>
          <cell r="O312">
            <v>12.99</v>
          </cell>
          <cell r="P312">
            <v>6.4950000000000001</v>
          </cell>
        </row>
        <row r="313">
          <cell r="F313" t="str">
            <v>LL-16-3153-V3</v>
          </cell>
          <cell r="G313" t="str">
            <v>FlowArt: Dot-By-Letter, Into the Deep [Metallic ink]</v>
          </cell>
          <cell r="H313" t="str">
            <v>N</v>
          </cell>
          <cell r="I313" t="str">
            <v/>
          </cell>
          <cell r="J313"/>
          <cell r="K313"/>
          <cell r="L313"/>
          <cell r="M313">
            <v>4</v>
          </cell>
          <cell r="N313">
            <v>12</v>
          </cell>
          <cell r="O313">
            <v>12.99</v>
          </cell>
          <cell r="P313">
            <v>6.4950000000000001</v>
          </cell>
        </row>
        <row r="314">
          <cell r="F314" t="str">
            <v>LL-16-3429</v>
          </cell>
          <cell r="G314" t="str">
            <v>FlowArt: Dot-By-Letter, Botanicals - D03</v>
          </cell>
          <cell r="H314" t="str">
            <v>Y</v>
          </cell>
          <cell r="I314" t="str">
            <v>625</v>
          </cell>
          <cell r="J314">
            <v>810076216256</v>
          </cell>
          <cell r="K314">
            <v>50810076216251</v>
          </cell>
          <cell r="L314">
            <v>30810076216257</v>
          </cell>
          <cell r="M314">
            <v>4</v>
          </cell>
          <cell r="N314">
            <v>12</v>
          </cell>
          <cell r="O314">
            <v>12.99</v>
          </cell>
          <cell r="P314">
            <v>6.4950000000000001</v>
          </cell>
        </row>
        <row r="315">
          <cell r="F315" t="str">
            <v>LL-16-3430</v>
          </cell>
          <cell r="G315" t="str">
            <v>FlowArt: Dot-By-Letter, Landscapes - D03</v>
          </cell>
          <cell r="H315" t="str">
            <v>Y</v>
          </cell>
          <cell r="I315" t="str">
            <v>626</v>
          </cell>
          <cell r="J315">
            <v>810076216263</v>
          </cell>
          <cell r="K315">
            <v>50810076216268</v>
          </cell>
          <cell r="L315">
            <v>30810076216264</v>
          </cell>
          <cell r="M315">
            <v>4</v>
          </cell>
          <cell r="N315">
            <v>12</v>
          </cell>
          <cell r="O315">
            <v>12.99</v>
          </cell>
          <cell r="P315">
            <v>6.4950000000000001</v>
          </cell>
        </row>
        <row r="316">
          <cell r="F316" t="str">
            <v>LL-16-3385</v>
          </cell>
          <cell r="G316" t="str">
            <v>FlowArt: Dot-By-Letter, Americana - D03</v>
          </cell>
          <cell r="H316" t="str">
            <v>Y</v>
          </cell>
          <cell r="I316" t="str">
            <v>586</v>
          </cell>
          <cell r="J316">
            <v>810076215860</v>
          </cell>
          <cell r="K316">
            <v>50810076215865</v>
          </cell>
          <cell r="L316">
            <v>30810076215861</v>
          </cell>
          <cell r="M316">
            <v>4</v>
          </cell>
          <cell r="N316">
            <v>12</v>
          </cell>
          <cell r="O316">
            <v>12.99</v>
          </cell>
          <cell r="P316">
            <v>6.4950000000000001</v>
          </cell>
        </row>
        <row r="317">
          <cell r="F317" t="str">
            <v>LL-16-3384</v>
          </cell>
          <cell r="G317" t="str">
            <v>FlowArt: Dot-By-Letter, Into the Deep [Metallic ink] - D03</v>
          </cell>
          <cell r="H317" t="str">
            <v>Y</v>
          </cell>
          <cell r="I317" t="str">
            <v>585</v>
          </cell>
          <cell r="J317">
            <v>810076215853</v>
          </cell>
          <cell r="K317">
            <v>50810076215858</v>
          </cell>
          <cell r="L317">
            <v>30810076215854</v>
          </cell>
          <cell r="M317">
            <v>4</v>
          </cell>
          <cell r="N317">
            <v>12</v>
          </cell>
          <cell r="O317">
            <v>12.99</v>
          </cell>
          <cell r="P317">
            <v>6.4950000000000001</v>
          </cell>
        </row>
        <row r="318">
          <cell r="F318" t="str">
            <v>LL-16-3157</v>
          </cell>
          <cell r="G318" t="str">
            <v>FlowArt: Dot-By-Letter, Pumpkins &amp; Pastures</v>
          </cell>
          <cell r="H318" t="str">
            <v>Y</v>
          </cell>
          <cell r="I318" t="str">
            <v>300</v>
          </cell>
          <cell r="J318">
            <v>810076213002</v>
          </cell>
          <cell r="K318">
            <v>50810076213007</v>
          </cell>
          <cell r="L318">
            <v>30810076213003</v>
          </cell>
          <cell r="M318">
            <v>4</v>
          </cell>
          <cell r="N318">
            <v>12</v>
          </cell>
          <cell r="O318">
            <v>12.99</v>
          </cell>
          <cell r="P318">
            <v>6.4950000000000001</v>
          </cell>
        </row>
        <row r="319">
          <cell r="F319" t="str">
            <v>LL-16-3158</v>
          </cell>
          <cell r="G319" t="str">
            <v>FlowArt: Dot-By-Letter, Sweater Weather [2026]</v>
          </cell>
          <cell r="H319" t="str">
            <v>Y</v>
          </cell>
          <cell r="I319" t="str">
            <v>301</v>
          </cell>
          <cell r="J319">
            <v>810076213019</v>
          </cell>
          <cell r="K319">
            <v>50810076213014</v>
          </cell>
          <cell r="L319">
            <v>30810076213010</v>
          </cell>
          <cell r="M319">
            <v>4</v>
          </cell>
          <cell r="N319">
            <v>12</v>
          </cell>
          <cell r="O319">
            <v>12.99</v>
          </cell>
          <cell r="P319">
            <v>6.4950000000000001</v>
          </cell>
        </row>
        <row r="320">
          <cell r="F320" t="str">
            <v>LL-16-3323</v>
          </cell>
          <cell r="G320" t="str">
            <v>FlowArt: Dot-By-Letter, Sweater Weather [2025 Version]</v>
          </cell>
          <cell r="H320" t="str">
            <v>Y</v>
          </cell>
          <cell r="I320" t="str">
            <v/>
          </cell>
          <cell r="M320">
            <v>4</v>
          </cell>
          <cell r="N320">
            <v>12</v>
          </cell>
          <cell r="O320">
            <v>12.99</v>
          </cell>
          <cell r="P320">
            <v>6.4950000000000001</v>
          </cell>
        </row>
        <row r="321">
          <cell r="F321" t="str">
            <v>LL-16-3159</v>
          </cell>
          <cell r="G321" t="str">
            <v>FlowArt: Illuminate &amp; Create, Frightful Fun</v>
          </cell>
          <cell r="H321" t="str">
            <v>Y</v>
          </cell>
          <cell r="I321" t="str">
            <v>302</v>
          </cell>
          <cell r="J321">
            <v>810076213026</v>
          </cell>
          <cell r="K321">
            <v>50810076213021</v>
          </cell>
          <cell r="L321">
            <v>30810076213027</v>
          </cell>
          <cell r="M321">
            <v>4</v>
          </cell>
          <cell r="N321">
            <v>12</v>
          </cell>
          <cell r="O321">
            <v>12.99</v>
          </cell>
          <cell r="P321">
            <v>6.4950000000000001</v>
          </cell>
        </row>
        <row r="322">
          <cell r="F322" t="str">
            <v>LL-16-3160</v>
          </cell>
          <cell r="G322" t="str">
            <v>FlowArt: Pogo-Dot, Enchanted Forest</v>
          </cell>
          <cell r="H322" t="str">
            <v>Y</v>
          </cell>
          <cell r="I322" t="str">
            <v>303</v>
          </cell>
          <cell r="J322">
            <v>810076213033</v>
          </cell>
          <cell r="K322">
            <v>50810076213038</v>
          </cell>
          <cell r="L322">
            <v>30810076213034</v>
          </cell>
          <cell r="M322">
            <v>4</v>
          </cell>
          <cell r="N322">
            <v>12</v>
          </cell>
          <cell r="O322">
            <v>12.99</v>
          </cell>
          <cell r="P322">
            <v>6.4950000000000001</v>
          </cell>
        </row>
        <row r="323">
          <cell r="F323" t="str">
            <v>LL-16-3313</v>
          </cell>
          <cell r="G323" t="str">
            <v>FlowArt: Dot-by-Letter, Spooky Season</v>
          </cell>
          <cell r="H323" t="str">
            <v>Y</v>
          </cell>
          <cell r="I323" t="str">
            <v>501</v>
          </cell>
          <cell r="J323">
            <v>810076215013</v>
          </cell>
          <cell r="K323">
            <v>50810076215018</v>
          </cell>
          <cell r="L323">
            <v>30810076215014</v>
          </cell>
          <cell r="M323">
            <v>4</v>
          </cell>
          <cell r="N323">
            <v>12</v>
          </cell>
          <cell r="O323">
            <v>12.99</v>
          </cell>
          <cell r="P323">
            <v>6.4950000000000001</v>
          </cell>
        </row>
        <row r="324">
          <cell r="F324" t="str">
            <v>LL-16-3290</v>
          </cell>
          <cell r="G324" t="str">
            <v>FlowArt: Color-to-Reveal, Fall is in the Air [Scented]</v>
          </cell>
          <cell r="H324" t="str">
            <v>Y</v>
          </cell>
          <cell r="I324" t="str">
            <v>476</v>
          </cell>
          <cell r="J324">
            <v>810076214764</v>
          </cell>
          <cell r="K324">
            <v>50810076214769</v>
          </cell>
          <cell r="L324">
            <v>30810076214765</v>
          </cell>
          <cell r="M324">
            <v>4</v>
          </cell>
          <cell r="N324">
            <v>12</v>
          </cell>
          <cell r="O324">
            <v>12.99</v>
          </cell>
          <cell r="P324">
            <v>6.4950000000000001</v>
          </cell>
        </row>
        <row r="325">
          <cell r="F325" t="str">
            <v>LL-16-3247</v>
          </cell>
          <cell r="G325" t="str">
            <v>FlowArt: Trace-By-Line, Fall Harvest</v>
          </cell>
          <cell r="H325" t="str">
            <v>Y</v>
          </cell>
          <cell r="I325" t="str">
            <v>421</v>
          </cell>
          <cell r="J325">
            <v>810076214214</v>
          </cell>
          <cell r="K325">
            <v>50810076214219</v>
          </cell>
          <cell r="L325">
            <v>30810076214215</v>
          </cell>
          <cell r="M325">
            <v>4</v>
          </cell>
          <cell r="N325">
            <v>12</v>
          </cell>
          <cell r="O325">
            <v>12.99</v>
          </cell>
          <cell r="P325">
            <v>6.4950000000000001</v>
          </cell>
        </row>
        <row r="326">
          <cell r="F326" t="str">
            <v>LL-16-3248</v>
          </cell>
          <cell r="G326" t="str">
            <v>FlowArt: Dot-By-Letter, Strolling through Fall</v>
          </cell>
          <cell r="H326" t="str">
            <v>Y</v>
          </cell>
          <cell r="I326" t="str">
            <v>422</v>
          </cell>
          <cell r="J326">
            <v>810076214221</v>
          </cell>
          <cell r="K326">
            <v>50810076214226</v>
          </cell>
          <cell r="L326">
            <v>30810076214222</v>
          </cell>
          <cell r="M326">
            <v>4</v>
          </cell>
          <cell r="N326">
            <v>12</v>
          </cell>
          <cell r="O326">
            <v>12.99</v>
          </cell>
          <cell r="P326">
            <v>6.4950000000000001</v>
          </cell>
        </row>
        <row r="327">
          <cell r="F327" t="str">
            <v>LL-16-3572</v>
          </cell>
          <cell r="G327" t="str">
            <v>FlowArt: Fall #1 - Format TBD</v>
          </cell>
          <cell r="H327" t="str">
            <v>N</v>
          </cell>
          <cell r="I327" t="str">
            <v/>
          </cell>
          <cell r="M327">
            <v>4</v>
          </cell>
          <cell r="N327">
            <v>12</v>
          </cell>
          <cell r="O327">
            <v>12.99</v>
          </cell>
          <cell r="P327">
            <v>6.4950000000000001</v>
          </cell>
        </row>
        <row r="328">
          <cell r="F328" t="str">
            <v>LL-16-3573</v>
          </cell>
          <cell r="G328" t="str">
            <v>FlowArt: Fall #2 - Format TBD</v>
          </cell>
          <cell r="H328" t="str">
            <v>N</v>
          </cell>
          <cell r="I328" t="str">
            <v/>
          </cell>
          <cell r="M328">
            <v>4</v>
          </cell>
          <cell r="N328">
            <v>12</v>
          </cell>
          <cell r="O328">
            <v>12.99</v>
          </cell>
          <cell r="P328">
            <v>6.4950000000000001</v>
          </cell>
        </row>
        <row r="329">
          <cell r="F329" t="str">
            <v>LL-16-3574</v>
          </cell>
          <cell r="G329" t="str">
            <v>FlowArt: Fall #3 - Format TBD</v>
          </cell>
          <cell r="H329" t="str">
            <v>N</v>
          </cell>
          <cell r="I329" t="str">
            <v/>
          </cell>
          <cell r="M329">
            <v>4</v>
          </cell>
          <cell r="N329">
            <v>12</v>
          </cell>
          <cell r="O329">
            <v>12.99</v>
          </cell>
          <cell r="P329">
            <v>6.4950000000000001</v>
          </cell>
        </row>
        <row r="330">
          <cell r="F330" t="str">
            <v>LL-16-3575</v>
          </cell>
          <cell r="G330" t="str">
            <v>FlowArt: Fall #4 - Format TBD</v>
          </cell>
          <cell r="H330" t="str">
            <v>N</v>
          </cell>
          <cell r="I330" t="str">
            <v/>
          </cell>
          <cell r="M330">
            <v>4</v>
          </cell>
          <cell r="N330">
            <v>12</v>
          </cell>
          <cell r="O330">
            <v>12.99</v>
          </cell>
          <cell r="P330">
            <v>6.4950000000000001</v>
          </cell>
        </row>
        <row r="331">
          <cell r="F331" t="str">
            <v>LL-16-3576</v>
          </cell>
          <cell r="G331" t="str">
            <v>FlowArt: Fall - DTC Exclusive - Format TBD</v>
          </cell>
          <cell r="H331" t="str">
            <v>N</v>
          </cell>
          <cell r="I331" t="str">
            <v/>
          </cell>
          <cell r="J331"/>
          <cell r="K331"/>
          <cell r="L331"/>
          <cell r="M331">
            <v>4</v>
          </cell>
          <cell r="N331">
            <v>12</v>
          </cell>
          <cell r="O331">
            <v>12.99</v>
          </cell>
          <cell r="P331">
            <v>6.4950000000000001</v>
          </cell>
        </row>
        <row r="332">
          <cell r="F332" t="str">
            <v>LL-16-3162</v>
          </cell>
          <cell r="G332" t="str">
            <v>FlowArt: Dot-By-Letter, Snowed In</v>
          </cell>
          <cell r="H332" t="str">
            <v>Y</v>
          </cell>
          <cell r="I332" t="str">
            <v>306</v>
          </cell>
          <cell r="J332">
            <v>810076213064</v>
          </cell>
          <cell r="K332">
            <v>50810076213069</v>
          </cell>
          <cell r="L332">
            <v>30810076213065</v>
          </cell>
          <cell r="M332">
            <v>4</v>
          </cell>
          <cell r="N332">
            <v>12</v>
          </cell>
          <cell r="O332">
            <v>12.99</v>
          </cell>
          <cell r="P332">
            <v>6.4950000000000001</v>
          </cell>
        </row>
        <row r="333">
          <cell r="F333" t="str">
            <v>LL-16-3244</v>
          </cell>
          <cell r="G333" t="str">
            <v>FlowArt: Dot-By-Letter, Winter's Glow [Metallic ink]</v>
          </cell>
          <cell r="H333" t="str">
            <v>Y</v>
          </cell>
          <cell r="I333" t="str">
            <v>418</v>
          </cell>
          <cell r="J333">
            <v>810076214184</v>
          </cell>
          <cell r="K333">
            <v>50810076214189</v>
          </cell>
          <cell r="L333">
            <v>30810076214185</v>
          </cell>
          <cell r="M333">
            <v>4</v>
          </cell>
          <cell r="N333">
            <v>12</v>
          </cell>
          <cell r="O333">
            <v>12.99</v>
          </cell>
          <cell r="P333">
            <v>6.4950000000000001</v>
          </cell>
        </row>
        <row r="334">
          <cell r="F334" t="str">
            <v>LL-16-3245</v>
          </cell>
          <cell r="G334" t="str">
            <v>FlowArt: Dot-By-Letter, Winter Wonderland</v>
          </cell>
          <cell r="H334" t="str">
            <v>Y</v>
          </cell>
          <cell r="I334" t="str">
            <v>419</v>
          </cell>
          <cell r="J334">
            <v>810076214191</v>
          </cell>
          <cell r="K334">
            <v>50810076214196</v>
          </cell>
          <cell r="L334">
            <v>30810076214192</v>
          </cell>
          <cell r="M334">
            <v>4</v>
          </cell>
          <cell r="N334">
            <v>12</v>
          </cell>
          <cell r="O334">
            <v>12.99</v>
          </cell>
          <cell r="P334">
            <v>6.4950000000000001</v>
          </cell>
        </row>
        <row r="335">
          <cell r="F335" t="str">
            <v>LL-16-3246</v>
          </cell>
          <cell r="G335" t="str">
            <v>FlowArt: Color-to-Reveal, Home for the Holidays [Scented]</v>
          </cell>
          <cell r="H335" t="str">
            <v>Y</v>
          </cell>
          <cell r="I335" t="str">
            <v>420</v>
          </cell>
          <cell r="J335">
            <v>810076214207</v>
          </cell>
          <cell r="K335">
            <v>50810076214202</v>
          </cell>
          <cell r="L335">
            <v>30810076214208</v>
          </cell>
          <cell r="M335">
            <v>4</v>
          </cell>
          <cell r="N335">
            <v>12</v>
          </cell>
          <cell r="O335">
            <v>12.99</v>
          </cell>
          <cell r="P335">
            <v>6.4950000000000001</v>
          </cell>
        </row>
        <row r="336">
          <cell r="F336" t="str">
            <v>LL-16-3366</v>
          </cell>
          <cell r="G336" t="str">
            <v>FlowArt: Color-To-Reveal, Snowy Village [Scented]</v>
          </cell>
          <cell r="H336" t="str">
            <v>Y</v>
          </cell>
          <cell r="I336" t="str">
            <v>564</v>
          </cell>
          <cell r="J336">
            <v>810076215648</v>
          </cell>
          <cell r="K336">
            <v>50810076215643</v>
          </cell>
          <cell r="L336">
            <v>30810076215649</v>
          </cell>
          <cell r="M336">
            <v>4</v>
          </cell>
          <cell r="N336">
            <v>12</v>
          </cell>
          <cell r="O336">
            <v>12.99</v>
          </cell>
          <cell r="P336">
            <v>6.4950000000000001</v>
          </cell>
        </row>
        <row r="337">
          <cell r="F337" t="str">
            <v>LL-16-3163</v>
          </cell>
          <cell r="G337" t="str">
            <v>FlowArt: Illuminate &amp; Create, Winter Cheer (Typography)</v>
          </cell>
          <cell r="H337" t="str">
            <v>Y</v>
          </cell>
          <cell r="I337" t="str">
            <v>307</v>
          </cell>
          <cell r="J337">
            <v>810076213071</v>
          </cell>
          <cell r="K337">
            <v>50810076213076</v>
          </cell>
          <cell r="L337">
            <v>30810076213072</v>
          </cell>
          <cell r="M337">
            <v>4</v>
          </cell>
          <cell r="N337">
            <v>12</v>
          </cell>
          <cell r="O337">
            <v>12.99</v>
          </cell>
          <cell r="P337">
            <v>6.4950000000000001</v>
          </cell>
        </row>
        <row r="338">
          <cell r="F338" t="str">
            <v>LL-16-3367</v>
          </cell>
          <cell r="G338" t="str">
            <v>FlowArt: Trace-by-Line, Gingerbread Delight</v>
          </cell>
          <cell r="H338" t="str">
            <v>Y</v>
          </cell>
          <cell r="I338" t="str">
            <v>565</v>
          </cell>
          <cell r="J338">
            <v>810076215655</v>
          </cell>
          <cell r="K338">
            <v>50810076215650</v>
          </cell>
          <cell r="L338">
            <v>30810076215656</v>
          </cell>
          <cell r="M338">
            <v>4</v>
          </cell>
          <cell r="N338">
            <v>12</v>
          </cell>
          <cell r="O338">
            <v>12.99</v>
          </cell>
          <cell r="P338">
            <v>6.4950000000000001</v>
          </cell>
        </row>
        <row r="339">
          <cell r="F339" t="str">
            <v>LL-16-3368</v>
          </cell>
          <cell r="G339" t="str">
            <v>FlowArt: Dot-By-Letter, The North Pole</v>
          </cell>
          <cell r="H339" t="str">
            <v>Y</v>
          </cell>
          <cell r="I339" t="str">
            <v>566</v>
          </cell>
          <cell r="J339">
            <v>810076215662</v>
          </cell>
          <cell r="K339">
            <v>50810076215667</v>
          </cell>
          <cell r="L339">
            <v>30810076215663</v>
          </cell>
          <cell r="M339">
            <v>4</v>
          </cell>
          <cell r="N339">
            <v>12</v>
          </cell>
          <cell r="O339">
            <v>12.99</v>
          </cell>
          <cell r="P339">
            <v>6.4950000000000001</v>
          </cell>
        </row>
        <row r="340">
          <cell r="F340" t="str">
            <v>LL-16-3369</v>
          </cell>
          <cell r="G340" t="str">
            <v>FlowArt: Dot-By-Letter, Holiday Helpers</v>
          </cell>
          <cell r="H340" t="str">
            <v>Y</v>
          </cell>
          <cell r="I340" t="str">
            <v>567</v>
          </cell>
          <cell r="J340">
            <v>810076215679</v>
          </cell>
          <cell r="K340">
            <v>50810076215674</v>
          </cell>
          <cell r="L340">
            <v>30810076215670</v>
          </cell>
          <cell r="M340">
            <v>4</v>
          </cell>
          <cell r="N340">
            <v>12</v>
          </cell>
          <cell r="O340">
            <v>12.99</v>
          </cell>
          <cell r="P340">
            <v>6.4950000000000001</v>
          </cell>
        </row>
        <row r="341">
          <cell r="F341" t="str">
            <v>LL-16-3342</v>
          </cell>
          <cell r="G341" t="str">
            <v>FlowArt: Dot-By-Letter, Cozy Companions</v>
          </cell>
          <cell r="H341" t="str">
            <v>Y</v>
          </cell>
          <cell r="I341" t="str">
            <v>535</v>
          </cell>
          <cell r="J341">
            <v>810076215358</v>
          </cell>
          <cell r="K341">
            <v>50810076215353</v>
          </cell>
          <cell r="L341">
            <v>30810076215359</v>
          </cell>
          <cell r="M341">
            <v>4</v>
          </cell>
          <cell r="N341">
            <v>12</v>
          </cell>
          <cell r="O341">
            <v>12.99</v>
          </cell>
          <cell r="P341">
            <v>6.4950000000000001</v>
          </cell>
        </row>
        <row r="342">
          <cell r="F342" t="str">
            <v>LL-16-3343</v>
          </cell>
          <cell r="G342" t="str">
            <v>FlowArt: Dot-By-Letter, Corner Café</v>
          </cell>
          <cell r="H342" t="str">
            <v>Y</v>
          </cell>
          <cell r="I342" t="str">
            <v>536</v>
          </cell>
          <cell r="J342">
            <v>810076215365</v>
          </cell>
          <cell r="K342">
            <v>50810076215360</v>
          </cell>
          <cell r="L342">
            <v>30810076215366</v>
          </cell>
          <cell r="M342">
            <v>4</v>
          </cell>
          <cell r="N342">
            <v>12</v>
          </cell>
          <cell r="O342">
            <v>12.99</v>
          </cell>
          <cell r="P342">
            <v>6.4950000000000001</v>
          </cell>
        </row>
        <row r="343">
          <cell r="F343" t="str">
            <v>LL-16-3344</v>
          </cell>
          <cell r="G343" t="str">
            <v>FlowArt: Dot-By-Letter, Cabin Getaway</v>
          </cell>
          <cell r="H343" t="str">
            <v>Y</v>
          </cell>
          <cell r="I343" t="str">
            <v>537</v>
          </cell>
          <cell r="J343">
            <v>810076215372</v>
          </cell>
          <cell r="K343">
            <v>50810076215377</v>
          </cell>
          <cell r="L343">
            <v>30810076215373</v>
          </cell>
          <cell r="M343">
            <v>4</v>
          </cell>
          <cell r="N343">
            <v>12</v>
          </cell>
          <cell r="O343">
            <v>12.99</v>
          </cell>
          <cell r="P343">
            <v>6.4950000000000001</v>
          </cell>
        </row>
        <row r="344">
          <cell r="F344" t="str">
            <v>LL-16-3590</v>
          </cell>
          <cell r="G344" t="str">
            <v>FlowArt: Holiday #1 - Format TBD</v>
          </cell>
          <cell r="H344" t="str">
            <v>N</v>
          </cell>
          <cell r="I344" t="str">
            <v/>
          </cell>
          <cell r="M344">
            <v>4</v>
          </cell>
          <cell r="N344">
            <v>12</v>
          </cell>
          <cell r="O344">
            <v>12.99</v>
          </cell>
          <cell r="P344">
            <v>6.4950000000000001</v>
          </cell>
        </row>
        <row r="345">
          <cell r="F345" t="str">
            <v>LL-16-3591</v>
          </cell>
          <cell r="G345" t="str">
            <v>FlowArt: Holiday #2 - Format TBD</v>
          </cell>
          <cell r="H345" t="str">
            <v>N</v>
          </cell>
          <cell r="I345" t="str">
            <v/>
          </cell>
          <cell r="M345">
            <v>4</v>
          </cell>
          <cell r="N345">
            <v>12</v>
          </cell>
          <cell r="O345">
            <v>12.99</v>
          </cell>
          <cell r="P345">
            <v>6.4950000000000001</v>
          </cell>
        </row>
        <row r="346">
          <cell r="F346" t="str">
            <v>LL-16-3592</v>
          </cell>
          <cell r="G346" t="str">
            <v>FlowArt: Holiday #3 - Format TBD</v>
          </cell>
          <cell r="H346" t="str">
            <v>N</v>
          </cell>
          <cell r="I346" t="str">
            <v/>
          </cell>
          <cell r="M346">
            <v>4</v>
          </cell>
          <cell r="N346">
            <v>12</v>
          </cell>
          <cell r="O346">
            <v>12.99</v>
          </cell>
          <cell r="P346">
            <v>6.4950000000000001</v>
          </cell>
        </row>
        <row r="347">
          <cell r="F347" t="str">
            <v>LL-16-3593</v>
          </cell>
          <cell r="G347" t="str">
            <v>FlowArt: Holiday #4 - Format TBD</v>
          </cell>
          <cell r="H347" t="str">
            <v>N</v>
          </cell>
          <cell r="I347" t="str">
            <v/>
          </cell>
          <cell r="M347">
            <v>4</v>
          </cell>
          <cell r="N347">
            <v>12</v>
          </cell>
          <cell r="O347">
            <v>12.99</v>
          </cell>
          <cell r="P347">
            <v>6.4950000000000001</v>
          </cell>
        </row>
        <row r="348">
          <cell r="F348" t="str">
            <v>LL-16-3603</v>
          </cell>
          <cell r="G348" t="str">
            <v>FlowArt: Holiday Etching - DTC Exclusive</v>
          </cell>
          <cell r="H348" t="str">
            <v>N</v>
          </cell>
          <cell r="I348" t="str">
            <v/>
          </cell>
          <cell r="J348"/>
          <cell r="K348"/>
          <cell r="L348"/>
          <cell r="M348">
            <v>4</v>
          </cell>
          <cell r="N348">
            <v>12</v>
          </cell>
          <cell r="O348">
            <v>12.99</v>
          </cell>
          <cell r="P348">
            <v>6.4950000000000001</v>
          </cell>
        </row>
        <row r="349">
          <cell r="F349" t="str">
            <v>LL-16-3341</v>
          </cell>
          <cell r="G349" t="str">
            <v>FlowArt: Cozy Sweater - TGT</v>
          </cell>
          <cell r="H349" t="str">
            <v>Y</v>
          </cell>
          <cell r="I349" t="str">
            <v>534</v>
          </cell>
          <cell r="J349">
            <v>810076215341</v>
          </cell>
          <cell r="K349">
            <v>50810076215346</v>
          </cell>
          <cell r="L349">
            <v>30810076215342</v>
          </cell>
          <cell r="M349">
            <v>4</v>
          </cell>
          <cell r="N349">
            <v>12</v>
          </cell>
          <cell r="O349">
            <v>12.99</v>
          </cell>
          <cell r="P349">
            <v>6.4950000000000001</v>
          </cell>
        </row>
        <row r="350">
          <cell r="F350" t="str">
            <v>LL-16-3371</v>
          </cell>
          <cell r="G350" t="str">
            <v>FlowArt: Dot-By-Letter, Lovestruck - TGT</v>
          </cell>
          <cell r="H350" t="str">
            <v>Y</v>
          </cell>
          <cell r="I350" t="str">
            <v>568</v>
          </cell>
          <cell r="J350">
            <v>810076215686</v>
          </cell>
          <cell r="K350">
            <v>50810076215681</v>
          </cell>
          <cell r="L350">
            <v>30810076215687</v>
          </cell>
          <cell r="M350">
            <v>4</v>
          </cell>
          <cell r="N350">
            <v>12</v>
          </cell>
          <cell r="O350">
            <v>12.99</v>
          </cell>
          <cell r="P350">
            <v>6.4950000000000001</v>
          </cell>
        </row>
        <row r="351">
          <cell r="F351" t="str">
            <v>LL-16-3372</v>
          </cell>
          <cell r="G351" t="str">
            <v>FlowArt: Dot-By-Letter, Everday Inspo - TGT</v>
          </cell>
          <cell r="H351" t="str">
            <v>Y</v>
          </cell>
          <cell r="I351" t="str">
            <v>569</v>
          </cell>
          <cell r="J351">
            <v>810076215693</v>
          </cell>
          <cell r="K351">
            <v>50810076215698</v>
          </cell>
          <cell r="L351">
            <v>30810076215694</v>
          </cell>
          <cell r="M351">
            <v>4</v>
          </cell>
          <cell r="N351">
            <v>12</v>
          </cell>
          <cell r="O351">
            <v>12.99</v>
          </cell>
          <cell r="P351">
            <v>6.4950000000000001</v>
          </cell>
        </row>
        <row r="352">
          <cell r="F352" t="str">
            <v>LL-16-3373</v>
          </cell>
          <cell r="G352" t="str">
            <v>FlowArt: Dot-By-Letter, Sweetened With Love - TGT</v>
          </cell>
          <cell r="H352" t="str">
            <v>Y</v>
          </cell>
          <cell r="I352" t="str">
            <v>570</v>
          </cell>
          <cell r="J352">
            <v>810076215709</v>
          </cell>
          <cell r="K352">
            <v>50810076215704</v>
          </cell>
          <cell r="L352">
            <v>30810076215700</v>
          </cell>
          <cell r="M352">
            <v>4</v>
          </cell>
          <cell r="N352">
            <v>12</v>
          </cell>
          <cell r="O352">
            <v>12.99</v>
          </cell>
          <cell r="P352">
            <v>6.4950000000000001</v>
          </cell>
        </row>
        <row r="353">
          <cell r="F353" t="str">
            <v>LL-16-3374</v>
          </cell>
          <cell r="G353" t="str">
            <v>FlowArt: Dot-By-Letter, Moonlit Garden - TGT</v>
          </cell>
          <cell r="H353" t="str">
            <v>Y</v>
          </cell>
          <cell r="I353" t="str">
            <v>571</v>
          </cell>
          <cell r="J353">
            <v>810076215716</v>
          </cell>
          <cell r="K353">
            <v>50810076215711</v>
          </cell>
          <cell r="L353">
            <v>30810076215717</v>
          </cell>
          <cell r="M353">
            <v>4</v>
          </cell>
          <cell r="N353">
            <v>12</v>
          </cell>
          <cell r="O353">
            <v>12.99</v>
          </cell>
          <cell r="P353">
            <v>6.4950000000000001</v>
          </cell>
        </row>
        <row r="354">
          <cell r="F354" t="str">
            <v>LL-16-3352</v>
          </cell>
          <cell r="G354" t="str">
            <v>FlowArt: Dot-By-Letter, Sparkle &amp; Shine - TGT</v>
          </cell>
          <cell r="H354" t="str">
            <v>Y</v>
          </cell>
          <cell r="I354" t="str">
            <v>546</v>
          </cell>
          <cell r="J354">
            <v>810076215464</v>
          </cell>
          <cell r="K354">
            <v>50810076215469</v>
          </cell>
          <cell r="L354">
            <v>30810076215465</v>
          </cell>
          <cell r="M354">
            <v>4</v>
          </cell>
          <cell r="N354">
            <v>12</v>
          </cell>
          <cell r="O354">
            <v>12.99</v>
          </cell>
          <cell r="P354">
            <v>6.4950000000000001</v>
          </cell>
        </row>
        <row r="355">
          <cell r="F355" t="str">
            <v>LL-16-3375</v>
          </cell>
          <cell r="G355" t="str">
            <v>FlowArt: CtR, Fragrant Blooms - TGT</v>
          </cell>
          <cell r="H355" t="str">
            <v>Y</v>
          </cell>
          <cell r="I355" t="str">
            <v>572</v>
          </cell>
          <cell r="J355">
            <v>810076215723</v>
          </cell>
          <cell r="K355">
            <v>50810076215728</v>
          </cell>
          <cell r="L355">
            <v>30810076215724</v>
          </cell>
          <cell r="M355">
            <v>4</v>
          </cell>
          <cell r="N355">
            <v>12</v>
          </cell>
          <cell r="O355">
            <v>12.99</v>
          </cell>
          <cell r="P355">
            <v>6.4950000000000001</v>
          </cell>
        </row>
        <row r="356">
          <cell r="F356" t="str">
            <v>LL-16-3390</v>
          </cell>
          <cell r="G356" t="str">
            <v>FlowArt: Trace-By-Line, Tied with a Bow - TGT</v>
          </cell>
          <cell r="H356" t="str">
            <v>Y</v>
          </cell>
          <cell r="I356" t="str">
            <v>590</v>
          </cell>
          <cell r="J356">
            <v>810076215907</v>
          </cell>
          <cell r="K356">
            <v>50810076215902</v>
          </cell>
          <cell r="L356">
            <v>30810076215908</v>
          </cell>
          <cell r="M356">
            <v>4</v>
          </cell>
          <cell r="N356">
            <v>12</v>
          </cell>
          <cell r="O356">
            <v>12.99</v>
          </cell>
          <cell r="P356">
            <v>6.4950000000000001</v>
          </cell>
        </row>
        <row r="357">
          <cell r="F357" t="str">
            <v>LL-16-3391</v>
          </cell>
          <cell r="G357" t="str">
            <v>FlowArt: Trace-By-Line, A Little Me Time - TGT</v>
          </cell>
          <cell r="H357" t="str">
            <v>Y</v>
          </cell>
          <cell r="I357" t="str">
            <v>591</v>
          </cell>
          <cell r="J357">
            <v>810076215914</v>
          </cell>
          <cell r="K357">
            <v>50810076215919</v>
          </cell>
          <cell r="L357">
            <v>30810076215915</v>
          </cell>
          <cell r="M357">
            <v>4</v>
          </cell>
          <cell r="N357">
            <v>12</v>
          </cell>
          <cell r="O357">
            <v>12.99</v>
          </cell>
          <cell r="P357">
            <v>6.4950000000000001</v>
          </cell>
        </row>
        <row r="358">
          <cell r="F358" t="str">
            <v>LL-16-3376</v>
          </cell>
          <cell r="G358" t="str">
            <v>FlowArt: Trace-By-Line, Once Upon a Bookshelf - TGT</v>
          </cell>
          <cell r="H358" t="str">
            <v>Y</v>
          </cell>
          <cell r="I358" t="str">
            <v>573</v>
          </cell>
          <cell r="J358">
            <v>810076215730</v>
          </cell>
          <cell r="K358">
            <v>50810076215735</v>
          </cell>
          <cell r="L358">
            <v>30810076215731</v>
          </cell>
          <cell r="M358">
            <v>4</v>
          </cell>
          <cell r="N358">
            <v>12</v>
          </cell>
          <cell r="O358">
            <v>12.99</v>
          </cell>
          <cell r="P358">
            <v>6.4950000000000001</v>
          </cell>
        </row>
        <row r="359">
          <cell r="F359" t="str">
            <v>LL-16-3210</v>
          </cell>
          <cell r="G359" t="str">
            <v>FlowArt: Dot-by-Letter, Lovestruck</v>
          </cell>
          <cell r="H359" t="str">
            <v>Y</v>
          </cell>
          <cell r="I359" t="str">
            <v>382</v>
          </cell>
          <cell r="J359">
            <v>810076213828</v>
          </cell>
          <cell r="K359">
            <v>50810076213823</v>
          </cell>
          <cell r="L359">
            <v>30810076213829</v>
          </cell>
          <cell r="M359">
            <v>4</v>
          </cell>
          <cell r="N359">
            <v>12</v>
          </cell>
          <cell r="O359">
            <v>12.99</v>
          </cell>
          <cell r="P359">
            <v>6.4950000000000001</v>
          </cell>
        </row>
        <row r="360">
          <cell r="F360" t="str">
            <v>LL-16-3389</v>
          </cell>
          <cell r="G360" t="str">
            <v>FlowArt: Trace-By-Line, Once Upon a Bookshelf</v>
          </cell>
          <cell r="H360" t="str">
            <v>Y</v>
          </cell>
          <cell r="I360" t="str">
            <v>589</v>
          </cell>
          <cell r="J360">
            <v>810076215891</v>
          </cell>
          <cell r="K360">
            <v>50810076215896</v>
          </cell>
          <cell r="L360">
            <v>30810076215892</v>
          </cell>
          <cell r="M360">
            <v>4</v>
          </cell>
          <cell r="N360">
            <v>12</v>
          </cell>
          <cell r="O360">
            <v>12.99</v>
          </cell>
          <cell r="P360">
            <v>6.4950000000000001</v>
          </cell>
        </row>
        <row r="361">
          <cell r="F361" t="str">
            <v>LL-16-3395</v>
          </cell>
          <cell r="G361" t="str">
            <v>FlowArt: Trace-By-Line, A Little Me Time</v>
          </cell>
          <cell r="H361" t="str">
            <v>Y</v>
          </cell>
          <cell r="I361" t="str">
            <v>595</v>
          </cell>
          <cell r="J361">
            <v>810076215952</v>
          </cell>
          <cell r="K361">
            <v>50810076215957</v>
          </cell>
          <cell r="L361">
            <v>30810076215953</v>
          </cell>
          <cell r="M361">
            <v>4</v>
          </cell>
          <cell r="N361">
            <v>12</v>
          </cell>
          <cell r="O361">
            <v>12.99</v>
          </cell>
          <cell r="P361">
            <v>6.4950000000000001</v>
          </cell>
        </row>
        <row r="362">
          <cell r="F362" t="str">
            <v>LL-16-3392</v>
          </cell>
          <cell r="G362" t="str">
            <v>FlowArt: Dot-By-Letter, Sweetened With Love</v>
          </cell>
          <cell r="H362" t="str">
            <v>Y</v>
          </cell>
          <cell r="I362" t="str">
            <v>592</v>
          </cell>
          <cell r="J362">
            <v>810076215921</v>
          </cell>
          <cell r="K362">
            <v>50810076215926</v>
          </cell>
          <cell r="L362">
            <v>30810076215922</v>
          </cell>
          <cell r="M362">
            <v>4</v>
          </cell>
          <cell r="N362">
            <v>12</v>
          </cell>
          <cell r="O362">
            <v>12.99</v>
          </cell>
          <cell r="P362">
            <v>6.4950000000000001</v>
          </cell>
        </row>
        <row r="363">
          <cell r="F363" t="str">
            <v>LL-16-3393</v>
          </cell>
          <cell r="G363" t="str">
            <v>FlowArt: Dot-By-Letter, Sparkle &amp; Shine</v>
          </cell>
          <cell r="H363" t="str">
            <v>Y</v>
          </cell>
          <cell r="I363" t="str">
            <v>593</v>
          </cell>
          <cell r="J363">
            <v>810076215938</v>
          </cell>
          <cell r="K363">
            <v>50810076215933</v>
          </cell>
          <cell r="L363">
            <v>30810076215939</v>
          </cell>
          <cell r="M363">
            <v>4</v>
          </cell>
          <cell r="N363">
            <v>12</v>
          </cell>
          <cell r="O363">
            <v>12.99</v>
          </cell>
          <cell r="P363">
            <v>6.4950000000000001</v>
          </cell>
        </row>
        <row r="364">
          <cell r="F364" t="str">
            <v>LL-16-3394</v>
          </cell>
          <cell r="G364" t="str">
            <v>FlowArt: Trace-By-Line, Tied with a Bow</v>
          </cell>
          <cell r="H364" t="str">
            <v>Y</v>
          </cell>
          <cell r="I364" t="str">
            <v>594</v>
          </cell>
          <cell r="J364">
            <v>810076215945</v>
          </cell>
          <cell r="K364">
            <v>50810076215940</v>
          </cell>
          <cell r="L364">
            <v>30810076215946</v>
          </cell>
          <cell r="M364">
            <v>4</v>
          </cell>
          <cell r="N364">
            <v>12</v>
          </cell>
          <cell r="O364">
            <v>12.99</v>
          </cell>
          <cell r="P364">
            <v>6.4950000000000001</v>
          </cell>
        </row>
        <row r="365">
          <cell r="F365" t="str">
            <v>LL-16-3615</v>
          </cell>
          <cell r="G365" t="str">
            <v>FlowArt: Trace-By-Line, Valentine #1 [Metallic]</v>
          </cell>
          <cell r="H365" t="str">
            <v>N</v>
          </cell>
          <cell r="I365" t="str">
            <v/>
          </cell>
          <cell r="M365">
            <v>4</v>
          </cell>
          <cell r="N365">
            <v>12</v>
          </cell>
          <cell r="O365">
            <v>12.99</v>
          </cell>
          <cell r="P365">
            <v>6.4950000000000001</v>
          </cell>
        </row>
        <row r="366">
          <cell r="F366" t="str">
            <v>LL-16-3616</v>
          </cell>
          <cell r="G366" t="str">
            <v>FlowArt: Cross-Stitch, Valentine #2</v>
          </cell>
          <cell r="H366" t="str">
            <v>N</v>
          </cell>
          <cell r="I366" t="str">
            <v/>
          </cell>
          <cell r="M366">
            <v>4</v>
          </cell>
          <cell r="N366">
            <v>12</v>
          </cell>
          <cell r="O366">
            <v>12.99</v>
          </cell>
          <cell r="P366">
            <v>6.4950000000000001</v>
          </cell>
        </row>
        <row r="367">
          <cell r="F367" t="str">
            <v>LL-16-3200</v>
          </cell>
          <cell r="G367" t="str">
            <v>FlowArt: Trace-By-Groove, Jungle Oasis</v>
          </cell>
          <cell r="H367" t="str">
            <v>Y</v>
          </cell>
          <cell r="I367" t="str">
            <v>370</v>
          </cell>
          <cell r="J367">
            <v>810076213705</v>
          </cell>
          <cell r="K367">
            <v>50810076213700</v>
          </cell>
          <cell r="L367">
            <v>30810076213706</v>
          </cell>
          <cell r="M367">
            <v>4</v>
          </cell>
          <cell r="N367">
            <v>12</v>
          </cell>
          <cell r="O367">
            <v>12.99</v>
          </cell>
          <cell r="P367">
            <v>6.4950000000000001</v>
          </cell>
        </row>
        <row r="368">
          <cell r="F368" t="str">
            <v>LL-16-3201</v>
          </cell>
          <cell r="G368" t="str">
            <v>FlowArt: Trace-By-Groove, Desert Dreams</v>
          </cell>
          <cell r="H368" t="str">
            <v>Y</v>
          </cell>
          <cell r="I368" t="str">
            <v>371</v>
          </cell>
          <cell r="J368">
            <v>810076213712</v>
          </cell>
          <cell r="K368">
            <v>50810076213717</v>
          </cell>
          <cell r="L368">
            <v>30810076213713</v>
          </cell>
          <cell r="M368">
            <v>4</v>
          </cell>
          <cell r="N368">
            <v>12</v>
          </cell>
          <cell r="O368">
            <v>12.99</v>
          </cell>
          <cell r="P368">
            <v>6.4950000000000001</v>
          </cell>
        </row>
        <row r="369">
          <cell r="F369" t="str">
            <v>LL-16-3512</v>
          </cell>
          <cell r="G369" t="str">
            <v>FlowArt: Trace-By-Groove, Flowers</v>
          </cell>
          <cell r="H369" t="str">
            <v>Y</v>
          </cell>
          <cell r="I369" t="str">
            <v>711</v>
          </cell>
          <cell r="J369">
            <v>810076217116</v>
          </cell>
          <cell r="K369">
            <v>50810076217111</v>
          </cell>
          <cell r="L369">
            <v>30810076217117</v>
          </cell>
          <cell r="M369">
            <v>4</v>
          </cell>
          <cell r="N369">
            <v>12</v>
          </cell>
          <cell r="O369">
            <v>12.99</v>
          </cell>
          <cell r="P369">
            <v>6.4950000000000001</v>
          </cell>
        </row>
        <row r="370">
          <cell r="F370" t="str">
            <v>LL-16-3548</v>
          </cell>
          <cell r="G370" t="str">
            <v>FlowArt: Trace-By-Groove, Coastal Sea Life - DTC Exclusive</v>
          </cell>
          <cell r="H370" t="str">
            <v>N</v>
          </cell>
          <cell r="I370" t="str">
            <v/>
          </cell>
          <cell r="M370">
            <v>4</v>
          </cell>
          <cell r="N370">
            <v>12</v>
          </cell>
          <cell r="O370">
            <v>12.99</v>
          </cell>
          <cell r="P370">
            <v>6.4950000000000001</v>
          </cell>
        </row>
        <row r="371">
          <cell r="F371" t="str">
            <v>LL-16-3204</v>
          </cell>
          <cell r="G371" t="str">
            <v>FlowArt: Trace-To-Doodle, Wild Style</v>
          </cell>
          <cell r="H371" t="str">
            <v>Y</v>
          </cell>
          <cell r="I371" t="str">
            <v>376</v>
          </cell>
          <cell r="J371">
            <v>810076213767</v>
          </cell>
          <cell r="K371">
            <v>50810076213762</v>
          </cell>
          <cell r="L371">
            <v>30810076213768</v>
          </cell>
          <cell r="M371">
            <v>4</v>
          </cell>
          <cell r="N371">
            <v>12</v>
          </cell>
          <cell r="O371">
            <v>12.99</v>
          </cell>
          <cell r="P371">
            <v>6.4950000000000001</v>
          </cell>
        </row>
        <row r="372">
          <cell r="F372" t="str">
            <v>LL-16-3205</v>
          </cell>
          <cell r="G372" t="str">
            <v>FlowArt: Trace-To-Doodle, Style Your Space</v>
          </cell>
          <cell r="H372" t="str">
            <v>Y</v>
          </cell>
          <cell r="I372" t="str">
            <v>377</v>
          </cell>
          <cell r="J372">
            <v>810076213774</v>
          </cell>
          <cell r="K372">
            <v>50810076213779</v>
          </cell>
          <cell r="L372">
            <v>30810076213775</v>
          </cell>
          <cell r="M372">
            <v>4</v>
          </cell>
          <cell r="N372">
            <v>12</v>
          </cell>
          <cell r="O372">
            <v>12.99</v>
          </cell>
          <cell r="P372">
            <v>6.4950000000000001</v>
          </cell>
        </row>
        <row r="373">
          <cell r="F373" t="str">
            <v>LL-16-3206</v>
          </cell>
          <cell r="G373" t="str">
            <v>FlowArt: Trace-By-Letter, Pack Your Bags</v>
          </cell>
          <cell r="H373" t="str">
            <v>Y</v>
          </cell>
          <cell r="I373" t="str">
            <v>378</v>
          </cell>
          <cell r="J373">
            <v>810076213781</v>
          </cell>
          <cell r="K373">
            <v>50810076213786</v>
          </cell>
          <cell r="L373">
            <v>30810076213782</v>
          </cell>
          <cell r="M373">
            <v>4</v>
          </cell>
          <cell r="N373">
            <v>12</v>
          </cell>
          <cell r="O373">
            <v>12.99</v>
          </cell>
          <cell r="P373">
            <v>6.4950000000000001</v>
          </cell>
        </row>
        <row r="374">
          <cell r="F374" t="str">
            <v>LL-16-3207</v>
          </cell>
          <cell r="G374" t="str">
            <v>FlowArt: Trace Within, Peaceful Pause</v>
          </cell>
          <cell r="H374" t="str">
            <v>Y</v>
          </cell>
          <cell r="I374" t="str">
            <v>379</v>
          </cell>
          <cell r="J374">
            <v>810076213798</v>
          </cell>
          <cell r="K374">
            <v>50810076213793</v>
          </cell>
          <cell r="L374">
            <v>30810076213799</v>
          </cell>
          <cell r="M374">
            <v>4</v>
          </cell>
          <cell r="N374">
            <v>12</v>
          </cell>
          <cell r="O374">
            <v>12.99</v>
          </cell>
          <cell r="P374">
            <v>6.4950000000000001</v>
          </cell>
        </row>
        <row r="375">
          <cell r="F375" t="str">
            <v>LL-16-3249</v>
          </cell>
          <cell r="G375" t="str">
            <v>FlowArt: Trace-By-Line, Brunch in Bloom</v>
          </cell>
          <cell r="H375" t="str">
            <v>Y</v>
          </cell>
          <cell r="I375" t="str">
            <v>423</v>
          </cell>
          <cell r="J375">
            <v>810076214238</v>
          </cell>
          <cell r="K375">
            <v>50810076214233</v>
          </cell>
          <cell r="L375">
            <v>30810076214239</v>
          </cell>
          <cell r="M375">
            <v>4</v>
          </cell>
          <cell r="N375">
            <v>12</v>
          </cell>
          <cell r="O375">
            <v>12.99</v>
          </cell>
          <cell r="P375">
            <v>6.4950000000000001</v>
          </cell>
        </row>
        <row r="376">
          <cell r="F376" t="str">
            <v>LL-16-3222</v>
          </cell>
          <cell r="G376" t="str">
            <v>FlowArt: Trace-By-Line, Tropical Paradise</v>
          </cell>
          <cell r="H376" t="str">
            <v>Y</v>
          </cell>
          <cell r="I376" t="str">
            <v>394</v>
          </cell>
          <cell r="J376">
            <v>810076213941</v>
          </cell>
          <cell r="K376">
            <v>50810076213946</v>
          </cell>
          <cell r="L376">
            <v>30810076213942</v>
          </cell>
          <cell r="M376">
            <v>4</v>
          </cell>
          <cell r="N376">
            <v>12</v>
          </cell>
          <cell r="O376">
            <v>12.99</v>
          </cell>
          <cell r="P376">
            <v>6.4950000000000001</v>
          </cell>
        </row>
        <row r="377">
          <cell r="F377" t="str">
            <v>LL-16-3223</v>
          </cell>
          <cell r="G377" t="str">
            <v>FlowArt: Trace-By-Line, Woodland Whimsy</v>
          </cell>
          <cell r="H377" t="str">
            <v>Y</v>
          </cell>
          <cell r="I377" t="str">
            <v>395</v>
          </cell>
          <cell r="J377">
            <v>810076213958</v>
          </cell>
          <cell r="K377">
            <v>50810076213953</v>
          </cell>
          <cell r="L377">
            <v>30810076213959</v>
          </cell>
          <cell r="M377">
            <v>4</v>
          </cell>
          <cell r="N377">
            <v>12</v>
          </cell>
          <cell r="O377">
            <v>12.99</v>
          </cell>
          <cell r="P377">
            <v>6.4950000000000001</v>
          </cell>
        </row>
        <row r="378">
          <cell r="F378" t="str">
            <v>LL-16-3411</v>
          </cell>
          <cell r="G378" t="str">
            <v>FlowArt: Trace-By-Line, By the Sea</v>
          </cell>
          <cell r="H378" t="str">
            <v>Y</v>
          </cell>
          <cell r="I378" t="str">
            <v>613</v>
          </cell>
          <cell r="J378">
            <v>810076216133</v>
          </cell>
          <cell r="K378">
            <v>50810076216138</v>
          </cell>
          <cell r="L378">
            <v>30810076216134</v>
          </cell>
          <cell r="M378">
            <v>4</v>
          </cell>
          <cell r="N378">
            <v>12</v>
          </cell>
          <cell r="O378">
            <v>12.99</v>
          </cell>
          <cell r="P378">
            <v>6.4950000000000001</v>
          </cell>
        </row>
        <row r="379">
          <cell r="F379" t="str">
            <v>LL-16-3449</v>
          </cell>
          <cell r="G379" t="str">
            <v>FlowArt: Trace-By-Line, Once Upon a Bookshelf [EVGR]</v>
          </cell>
          <cell r="H379" t="str">
            <v>Y</v>
          </cell>
          <cell r="I379" t="str">
            <v>648</v>
          </cell>
          <cell r="J379">
            <v>810076216485</v>
          </cell>
          <cell r="K379">
            <v>50810076216480</v>
          </cell>
          <cell r="L379">
            <v>30810076216486</v>
          </cell>
          <cell r="M379">
            <v>4</v>
          </cell>
          <cell r="N379">
            <v>12</v>
          </cell>
          <cell r="O379">
            <v>12.99</v>
          </cell>
          <cell r="P379">
            <v>6.4950000000000001</v>
          </cell>
        </row>
        <row r="380">
          <cell r="F380" t="str">
            <v>LL-16-3450</v>
          </cell>
          <cell r="G380" t="str">
            <v>FlowArt: Trace-By-Line, A Little Me Time [EVGR]</v>
          </cell>
          <cell r="H380" t="str">
            <v>Y</v>
          </cell>
          <cell r="I380" t="str">
            <v>649</v>
          </cell>
          <cell r="J380">
            <v>810076216492</v>
          </cell>
          <cell r="K380">
            <v>50810076216497</v>
          </cell>
          <cell r="L380">
            <v>30810076216493</v>
          </cell>
          <cell r="M380">
            <v>4</v>
          </cell>
          <cell r="N380">
            <v>12</v>
          </cell>
          <cell r="O380">
            <v>12.99</v>
          </cell>
          <cell r="P380">
            <v>6.4950000000000001</v>
          </cell>
        </row>
        <row r="381">
          <cell r="F381" t="str">
            <v>LL-16-3451</v>
          </cell>
          <cell r="G381" t="str">
            <v>FlowArt: Trace-By-Line, Tied with a Bow [EVGR]</v>
          </cell>
          <cell r="H381" t="str">
            <v>Y</v>
          </cell>
          <cell r="I381" t="str">
            <v>650</v>
          </cell>
          <cell r="J381">
            <v>810076216508</v>
          </cell>
          <cell r="K381">
            <v>50810076216503</v>
          </cell>
          <cell r="L381">
            <v>30810076216509</v>
          </cell>
          <cell r="M381">
            <v>4</v>
          </cell>
          <cell r="N381">
            <v>12</v>
          </cell>
          <cell r="O381">
            <v>12.99</v>
          </cell>
          <cell r="P381">
            <v>6.4950000000000001</v>
          </cell>
        </row>
        <row r="382">
          <cell r="F382" t="str">
            <v>LL-16-3418</v>
          </cell>
          <cell r="G382" t="str">
            <v>FlowArt: Trace-By-Line, Life With Pets</v>
          </cell>
          <cell r="H382" t="str">
            <v>Y</v>
          </cell>
          <cell r="I382" t="str">
            <v>618</v>
          </cell>
          <cell r="J382">
            <v>810076216188</v>
          </cell>
          <cell r="K382">
            <v>50810076216183</v>
          </cell>
          <cell r="L382">
            <v>30810076216189</v>
          </cell>
          <cell r="M382">
            <v>4</v>
          </cell>
          <cell r="N382">
            <v>12</v>
          </cell>
          <cell r="O382">
            <v>12.99</v>
          </cell>
          <cell r="P382">
            <v>6.4950000000000001</v>
          </cell>
        </row>
        <row r="383">
          <cell r="F383" t="str">
            <v>LL-16-3420</v>
          </cell>
          <cell r="G383" t="str">
            <v>FlowArt: Trace-By-Line, Dimensional, Beautiful Horizons</v>
          </cell>
          <cell r="H383" t="str">
            <v>Y</v>
          </cell>
          <cell r="I383" t="str">
            <v>624</v>
          </cell>
          <cell r="J383">
            <v>810076216249</v>
          </cell>
          <cell r="K383">
            <v>50810076216244</v>
          </cell>
          <cell r="L383">
            <v>30810076216240</v>
          </cell>
          <cell r="M383">
            <v>4</v>
          </cell>
          <cell r="N383">
            <v>12</v>
          </cell>
          <cell r="O383">
            <v>12.99</v>
          </cell>
          <cell r="P383">
            <v>6.4950000000000001</v>
          </cell>
        </row>
        <row r="384">
          <cell r="F384" t="str">
            <v>LL-16-3532</v>
          </cell>
          <cell r="G384" t="str">
            <v>FlowArt: Trace-By-Line, Beneath the Blue [Metallic]</v>
          </cell>
          <cell r="H384" t="str">
            <v>N</v>
          </cell>
          <cell r="I384" t="str">
            <v>735</v>
          </cell>
          <cell r="J384">
            <v>810076217352</v>
          </cell>
          <cell r="K384">
            <v>50810076217357</v>
          </cell>
          <cell r="L384">
            <v>30810076217353</v>
          </cell>
          <cell r="M384">
            <v>4</v>
          </cell>
          <cell r="N384">
            <v>12</v>
          </cell>
          <cell r="O384">
            <v>12.99</v>
          </cell>
          <cell r="P384">
            <v>6.4950000000000001</v>
          </cell>
        </row>
        <row r="385">
          <cell r="F385" t="str">
            <v>LL-16-3617</v>
          </cell>
          <cell r="G385" t="str">
            <v>FlowArt: Trace-By-Line, Glimmering Getaways [Metallic]</v>
          </cell>
          <cell r="H385" t="str">
            <v>N</v>
          </cell>
          <cell r="I385" t="str">
            <v>736</v>
          </cell>
          <cell r="J385">
            <v>810076217369</v>
          </cell>
          <cell r="K385">
            <v>50810076217364</v>
          </cell>
          <cell r="L385">
            <v>30810076217360</v>
          </cell>
          <cell r="M385">
            <v>4</v>
          </cell>
          <cell r="N385">
            <v>12</v>
          </cell>
          <cell r="O385">
            <v>12.99</v>
          </cell>
          <cell r="P385">
            <v>6.4950000000000001</v>
          </cell>
        </row>
        <row r="386">
          <cell r="F386" t="str">
            <v>LL-16-3448</v>
          </cell>
          <cell r="G386" t="str">
            <v>FlowArt: Trace-By-Line, Radiant Botanicals [Metallic]</v>
          </cell>
          <cell r="H386" t="str">
            <v>Y</v>
          </cell>
          <cell r="I386" t="str">
            <v>646</v>
          </cell>
          <cell r="J386">
            <v>810076216461</v>
          </cell>
          <cell r="K386">
            <v>50810076216466</v>
          </cell>
          <cell r="L386">
            <v>30810076216462</v>
          </cell>
          <cell r="M386">
            <v>4</v>
          </cell>
          <cell r="N386">
            <v>12</v>
          </cell>
          <cell r="O386">
            <v>12.99</v>
          </cell>
          <cell r="P386">
            <v>6.4950000000000001</v>
          </cell>
        </row>
        <row r="387">
          <cell r="F387">
            <v>165012</v>
          </cell>
          <cell r="G387" t="str">
            <v>FlowArt: Color-to-Reveal, Animals</v>
          </cell>
          <cell r="H387" t="str">
            <v>Y</v>
          </cell>
          <cell r="I387" t="str">
            <v>157</v>
          </cell>
          <cell r="J387">
            <v>810076211572</v>
          </cell>
          <cell r="K387">
            <v>50810076211577</v>
          </cell>
          <cell r="L387">
            <v>30810076211573</v>
          </cell>
          <cell r="M387">
            <v>4</v>
          </cell>
          <cell r="N387">
            <v>12</v>
          </cell>
          <cell r="O387">
            <v>12.99</v>
          </cell>
          <cell r="P387">
            <v>6.4950000000000001</v>
          </cell>
        </row>
        <row r="388">
          <cell r="F388" t="str">
            <v>LL-16-3151</v>
          </cell>
          <cell r="G388" t="str">
            <v>FlowArt: Color-to-Reveal, Foodie Fun</v>
          </cell>
          <cell r="H388" t="str">
            <v>Y</v>
          </cell>
          <cell r="I388" t="str">
            <v>294</v>
          </cell>
          <cell r="J388">
            <v>810076212944</v>
          </cell>
          <cell r="K388">
            <v>50810076212949</v>
          </cell>
          <cell r="L388">
            <v>30810076212945</v>
          </cell>
          <cell r="M388">
            <v>4</v>
          </cell>
          <cell r="N388">
            <v>12</v>
          </cell>
          <cell r="O388">
            <v>12.99</v>
          </cell>
          <cell r="P388">
            <v>6.4950000000000001</v>
          </cell>
        </row>
        <row r="389">
          <cell r="F389" t="str">
            <v>LL-16-3202</v>
          </cell>
          <cell r="G389" t="str">
            <v>FlowArt: Color-to-Reveal, Citrus Coastlines</v>
          </cell>
          <cell r="H389" t="str">
            <v>Y</v>
          </cell>
          <cell r="I389" t="str">
            <v>374</v>
          </cell>
          <cell r="J389">
            <v>810076213743</v>
          </cell>
          <cell r="K389">
            <v>50810076213748</v>
          </cell>
          <cell r="L389">
            <v>30810076213744</v>
          </cell>
          <cell r="M389">
            <v>4</v>
          </cell>
          <cell r="N389">
            <v>12</v>
          </cell>
          <cell r="O389">
            <v>12.99</v>
          </cell>
          <cell r="P389">
            <v>6.4950000000000001</v>
          </cell>
        </row>
        <row r="390">
          <cell r="F390" t="str">
            <v>LL-16-3203</v>
          </cell>
          <cell r="G390" t="str">
            <v>FlowArt: Color-to-Reveal, Fragrant Blooms</v>
          </cell>
          <cell r="H390" t="str">
            <v>Y</v>
          </cell>
          <cell r="I390" t="str">
            <v>375</v>
          </cell>
          <cell r="J390">
            <v>810076213750</v>
          </cell>
          <cell r="K390">
            <v>50810076213755</v>
          </cell>
          <cell r="L390">
            <v>30810076213751</v>
          </cell>
          <cell r="M390">
            <v>4</v>
          </cell>
          <cell r="N390">
            <v>12</v>
          </cell>
          <cell r="O390">
            <v>12.99</v>
          </cell>
          <cell r="P390">
            <v>6.4950000000000001</v>
          </cell>
        </row>
        <row r="391">
          <cell r="F391" t="str">
            <v>LL-16-3447</v>
          </cell>
          <cell r="G391" t="str">
            <v>FlowArt: Color-to-Reveal, Wings of Gold</v>
          </cell>
          <cell r="H391" t="str">
            <v>Y</v>
          </cell>
          <cell r="I391" t="str">
            <v>645</v>
          </cell>
          <cell r="J391">
            <v>810076216454</v>
          </cell>
          <cell r="K391">
            <v>50810076216459</v>
          </cell>
          <cell r="L391">
            <v>30810076216455</v>
          </cell>
          <cell r="M391">
            <v>4</v>
          </cell>
          <cell r="N391">
            <v>12</v>
          </cell>
          <cell r="O391">
            <v>12.99</v>
          </cell>
          <cell r="P391">
            <v>6.4950000000000001</v>
          </cell>
        </row>
        <row r="392">
          <cell r="F392" t="str">
            <v>LL-16-3577</v>
          </cell>
          <cell r="G392" t="str">
            <v>FlowArt: Color-to-Perfection, Mosaic Scenes [Raised Resist + Eraser]</v>
          </cell>
          <cell r="H392" t="str">
            <v>N</v>
          </cell>
          <cell r="I392" t="str">
            <v/>
          </cell>
          <cell r="J392"/>
          <cell r="K392"/>
          <cell r="L392"/>
          <cell r="M392">
            <v>4</v>
          </cell>
          <cell r="N392">
            <v>12</v>
          </cell>
          <cell r="O392">
            <v>12.99</v>
          </cell>
          <cell r="P392">
            <v>6.4950000000000001</v>
          </cell>
        </row>
        <row r="393">
          <cell r="F393" t="str">
            <v>LL-16-3553</v>
          </cell>
          <cell r="G393" t="str">
            <v>FlowArt: Micro Dot #1 - TBD</v>
          </cell>
          <cell r="H393" t="str">
            <v>N</v>
          </cell>
          <cell r="I393" t="str">
            <v/>
          </cell>
          <cell r="M393">
            <v>4</v>
          </cell>
          <cell r="N393">
            <v>12</v>
          </cell>
          <cell r="O393">
            <v>12.99</v>
          </cell>
          <cell r="P393">
            <v>6.4950000000000001</v>
          </cell>
        </row>
        <row r="394">
          <cell r="F394" t="str">
            <v>LL-16-3554</v>
          </cell>
          <cell r="G394" t="str">
            <v>FlowArt: Micro Dot #2 - TBD</v>
          </cell>
          <cell r="H394" t="str">
            <v>N</v>
          </cell>
          <cell r="I394" t="str">
            <v/>
          </cell>
          <cell r="M394">
            <v>4</v>
          </cell>
          <cell r="N394">
            <v>12</v>
          </cell>
          <cell r="O394">
            <v>12.99</v>
          </cell>
          <cell r="P394">
            <v>6.4950000000000001</v>
          </cell>
        </row>
        <row r="395">
          <cell r="F395" t="str">
            <v>LL-16-3555</v>
          </cell>
          <cell r="G395" t="str">
            <v>FlowArt: Dot-By-Pattern #1 [Glitter]</v>
          </cell>
          <cell r="H395" t="str">
            <v>N</v>
          </cell>
          <cell r="I395" t="str">
            <v/>
          </cell>
          <cell r="M395">
            <v>4</v>
          </cell>
          <cell r="N395">
            <v>12</v>
          </cell>
          <cell r="O395">
            <v>12.99</v>
          </cell>
          <cell r="P395">
            <v>6.4950000000000001</v>
          </cell>
        </row>
        <row r="396">
          <cell r="F396" t="str">
            <v>LL-16-3556</v>
          </cell>
          <cell r="G396" t="str">
            <v>FlowArt: Dot-By-Pattern #2 [Glitter]</v>
          </cell>
          <cell r="H396" t="str">
            <v>N</v>
          </cell>
          <cell r="I396" t="str">
            <v/>
          </cell>
          <cell r="J396"/>
          <cell r="K396"/>
          <cell r="L396"/>
          <cell r="M396">
            <v>4</v>
          </cell>
          <cell r="N396">
            <v>12</v>
          </cell>
          <cell r="O396">
            <v>12.99</v>
          </cell>
          <cell r="P396">
            <v>6.4950000000000001</v>
          </cell>
        </row>
        <row r="397">
          <cell r="F397" t="str">
            <v>LL-16-3484</v>
          </cell>
          <cell r="G397" t="str">
            <v>FlowArt: Etch-by-Trace #1</v>
          </cell>
          <cell r="H397" t="str">
            <v>N</v>
          </cell>
          <cell r="I397" t="str">
            <v>667</v>
          </cell>
          <cell r="J397">
            <v>810076216676</v>
          </cell>
          <cell r="K397">
            <v>50810076216671</v>
          </cell>
          <cell r="L397">
            <v>30810076216677</v>
          </cell>
          <cell r="M397">
            <v>4</v>
          </cell>
          <cell r="N397">
            <v>12</v>
          </cell>
          <cell r="O397">
            <v>12.99</v>
          </cell>
          <cell r="P397">
            <v>6.4950000000000001</v>
          </cell>
        </row>
        <row r="398">
          <cell r="F398" t="str">
            <v>LL-16-3485</v>
          </cell>
          <cell r="G398" t="str">
            <v>FlowArt: Etch-to-Texture #1</v>
          </cell>
          <cell r="H398" t="str">
            <v>N</v>
          </cell>
          <cell r="I398" t="str">
            <v>668</v>
          </cell>
          <cell r="J398">
            <v>810076216683</v>
          </cell>
          <cell r="K398">
            <v>50810076216688</v>
          </cell>
          <cell r="L398">
            <v>30810076216684</v>
          </cell>
          <cell r="M398">
            <v>4</v>
          </cell>
          <cell r="N398">
            <v>12</v>
          </cell>
          <cell r="O398">
            <v>12.99</v>
          </cell>
          <cell r="P398">
            <v>6.4950000000000001</v>
          </cell>
        </row>
        <row r="399">
          <cell r="F399" t="str">
            <v>LL-16-3486</v>
          </cell>
          <cell r="G399" t="str">
            <v>FlowArt: Etch-to-Pop #1</v>
          </cell>
          <cell r="H399" t="str">
            <v>N</v>
          </cell>
          <cell r="I399" t="str">
            <v>669</v>
          </cell>
          <cell r="J399">
            <v>810076216690</v>
          </cell>
          <cell r="K399">
            <v>50810076216695</v>
          </cell>
          <cell r="L399">
            <v>30810076216691</v>
          </cell>
          <cell r="M399">
            <v>4</v>
          </cell>
          <cell r="N399">
            <v>12</v>
          </cell>
          <cell r="O399">
            <v>12.99</v>
          </cell>
          <cell r="P399">
            <v>6.4950000000000001</v>
          </cell>
        </row>
        <row r="400">
          <cell r="F400" t="str">
            <v>LL-16-3487</v>
          </cell>
          <cell r="G400" t="str">
            <v>FlowArt: Etch-to-Reveal #1</v>
          </cell>
          <cell r="H400" t="str">
            <v>N</v>
          </cell>
          <cell r="I400" t="str">
            <v>670</v>
          </cell>
          <cell r="J400">
            <v>810076216706</v>
          </cell>
          <cell r="K400">
            <v>50810076216701</v>
          </cell>
          <cell r="L400">
            <v>30810076216707</v>
          </cell>
          <cell r="M400">
            <v>4</v>
          </cell>
          <cell r="N400">
            <v>12</v>
          </cell>
          <cell r="O400">
            <v>12.99</v>
          </cell>
          <cell r="P400">
            <v>6.4950000000000001</v>
          </cell>
        </row>
        <row r="401">
          <cell r="F401" t="str">
            <v>LL-16-3488</v>
          </cell>
          <cell r="G401" t="str">
            <v>FlowArt: Etch-to-Engrave #1</v>
          </cell>
          <cell r="H401" t="str">
            <v>N</v>
          </cell>
          <cell r="I401" t="str">
            <v>671</v>
          </cell>
          <cell r="J401">
            <v>810076216713</v>
          </cell>
          <cell r="K401">
            <v>50810076216718</v>
          </cell>
          <cell r="L401">
            <v>30810076216714</v>
          </cell>
          <cell r="M401">
            <v>4</v>
          </cell>
          <cell r="N401">
            <v>12</v>
          </cell>
          <cell r="O401">
            <v>12.99</v>
          </cell>
          <cell r="P401">
            <v>6.4950000000000001</v>
          </cell>
        </row>
        <row r="402">
          <cell r="F402" t="str">
            <v>LL-16-3489</v>
          </cell>
          <cell r="G402" t="str">
            <v>FlowArt: Etch-by-Glitter #1</v>
          </cell>
          <cell r="H402" t="str">
            <v>N</v>
          </cell>
          <cell r="I402" t="str">
            <v>672</v>
          </cell>
          <cell r="J402">
            <v>810076216720</v>
          </cell>
          <cell r="K402">
            <v>50810076216725</v>
          </cell>
          <cell r="L402">
            <v>30810076216721</v>
          </cell>
          <cell r="M402">
            <v>4</v>
          </cell>
          <cell r="N402">
            <v>12</v>
          </cell>
          <cell r="O402">
            <v>12.99</v>
          </cell>
          <cell r="P402">
            <v>6.4950000000000001</v>
          </cell>
        </row>
        <row r="403">
          <cell r="F403" t="str">
            <v>LL-16-3154</v>
          </cell>
          <cell r="G403" t="str">
            <v>FlowArt: Dot-By-Letter, Americana</v>
          </cell>
          <cell r="H403" t="str">
            <v>Y</v>
          </cell>
          <cell r="I403" t="str">
            <v>297</v>
          </cell>
          <cell r="J403">
            <v>810076212975</v>
          </cell>
          <cell r="K403">
            <v>50810076212970</v>
          </cell>
          <cell r="L403">
            <v>30810076212976</v>
          </cell>
          <cell r="M403">
            <v>4</v>
          </cell>
          <cell r="N403">
            <v>12</v>
          </cell>
          <cell r="O403">
            <v>12.99</v>
          </cell>
          <cell r="P403">
            <v>6.4950000000000001</v>
          </cell>
        </row>
        <row r="404">
          <cell r="F404" t="str">
            <v>LL-DB-3154</v>
          </cell>
          <cell r="G404" t="str">
            <v>FlowArt: Dot-By-Letter, Americana [DB Edition]</v>
          </cell>
          <cell r="H404" t="str">
            <v>Y</v>
          </cell>
          <cell r="I404" t="str">
            <v>487</v>
          </cell>
          <cell r="J404">
            <v>810076214870</v>
          </cell>
          <cell r="K404">
            <v>50810076214875</v>
          </cell>
          <cell r="L404">
            <v>30810076214871</v>
          </cell>
          <cell r="M404">
            <v>4</v>
          </cell>
          <cell r="N404">
            <v>12</v>
          </cell>
          <cell r="O404">
            <v>12.99</v>
          </cell>
          <cell r="P404">
            <v>6.4950000000000001</v>
          </cell>
        </row>
        <row r="405">
          <cell r="F405" t="str">
            <v>LL-16-3350</v>
          </cell>
          <cell r="G405" t="str">
            <v>FlowArt: Dot-By-Letter, DTC [Metallic] - #1</v>
          </cell>
          <cell r="H405" t="str">
            <v>Y</v>
          </cell>
          <cell r="I405" t="str">
            <v>544</v>
          </cell>
          <cell r="J405">
            <v>810076215440</v>
          </cell>
          <cell r="K405">
            <v>50810076215445</v>
          </cell>
          <cell r="L405">
            <v>30810076215441</v>
          </cell>
          <cell r="M405">
            <v>4</v>
          </cell>
          <cell r="N405">
            <v>12</v>
          </cell>
          <cell r="O405">
            <v>12.99</v>
          </cell>
          <cell r="P405">
            <v>6.4950000000000001</v>
          </cell>
        </row>
        <row r="406">
          <cell r="F406" t="str">
            <v>LL-16-3351</v>
          </cell>
          <cell r="G406" t="str">
            <v>FlowArt: Dot-By-Letter, DTC [Metallic] - #2</v>
          </cell>
          <cell r="H406" t="str">
            <v>Y</v>
          </cell>
          <cell r="I406" t="str">
            <v>545</v>
          </cell>
          <cell r="J406">
            <v>810076215457</v>
          </cell>
          <cell r="K406">
            <v>50810076215452</v>
          </cell>
          <cell r="L406">
            <v>30810076215458</v>
          </cell>
          <cell r="M406">
            <v>4</v>
          </cell>
          <cell r="N406">
            <v>12</v>
          </cell>
          <cell r="O406">
            <v>12.99</v>
          </cell>
          <cell r="P406">
            <v>6.4950000000000001</v>
          </cell>
        </row>
        <row r="407">
          <cell r="F407" t="str">
            <v>LL-16-3353</v>
          </cell>
          <cell r="G407" t="str">
            <v>FlowArt: Dot-By-Letter, DTC [Metallic] - #4</v>
          </cell>
          <cell r="H407" t="str">
            <v>Y</v>
          </cell>
          <cell r="I407" t="str">
            <v>547</v>
          </cell>
          <cell r="J407">
            <v>810076215471</v>
          </cell>
          <cell r="K407">
            <v>50810076215476</v>
          </cell>
          <cell r="L407">
            <v>30810076215472</v>
          </cell>
          <cell r="M407">
            <v>4</v>
          </cell>
          <cell r="N407">
            <v>12</v>
          </cell>
          <cell r="O407">
            <v>12.99</v>
          </cell>
          <cell r="P407">
            <v>6.4950000000000001</v>
          </cell>
        </row>
        <row r="408">
          <cell r="F408" t="str">
            <v>LL-16-3396</v>
          </cell>
          <cell r="G408" t="str">
            <v>FlowArt: Cross-Stitch-by-Number, Homegrown Garden</v>
          </cell>
          <cell r="H408" t="str">
            <v>Y</v>
          </cell>
          <cell r="I408" t="str">
            <v>596</v>
          </cell>
          <cell r="J408">
            <v>810076215969</v>
          </cell>
          <cell r="K408">
            <v>50810076215964</v>
          </cell>
          <cell r="L408">
            <v>30810076215960</v>
          </cell>
          <cell r="M408">
            <v>4</v>
          </cell>
          <cell r="N408">
            <v>12</v>
          </cell>
          <cell r="O408">
            <v>12.99</v>
          </cell>
          <cell r="P408">
            <v>6.4950000000000001</v>
          </cell>
        </row>
        <row r="409">
          <cell r="F409" t="str">
            <v>LL-16-3397</v>
          </cell>
          <cell r="G409" t="str">
            <v>FlowArt: Cross-Stitch-by-Number, Sincerely Yours</v>
          </cell>
          <cell r="H409" t="str">
            <v>Y</v>
          </cell>
          <cell r="I409" t="str">
            <v>597</v>
          </cell>
          <cell r="J409">
            <v>810076215976</v>
          </cell>
          <cell r="K409">
            <v>50810076215971</v>
          </cell>
          <cell r="L409">
            <v>30810076215977</v>
          </cell>
          <cell r="M409">
            <v>4</v>
          </cell>
          <cell r="N409">
            <v>12</v>
          </cell>
          <cell r="O409">
            <v>12.99</v>
          </cell>
          <cell r="P409">
            <v>6.4950000000000001</v>
          </cell>
        </row>
        <row r="410">
          <cell r="F410" t="str">
            <v>LL-16-3419</v>
          </cell>
          <cell r="G410" t="str">
            <v>FlowArt: Cross-Stitch-by-Number,Tranquil Waters</v>
          </cell>
          <cell r="H410" t="str">
            <v>Y</v>
          </cell>
          <cell r="I410" t="str">
            <v>638</v>
          </cell>
          <cell r="J410">
            <v>810076216386</v>
          </cell>
          <cell r="K410">
            <v>50810076216381</v>
          </cell>
          <cell r="L410">
            <v>30810076216387</v>
          </cell>
          <cell r="M410">
            <v>4</v>
          </cell>
          <cell r="N410">
            <v>12</v>
          </cell>
          <cell r="O410">
            <v>12.99</v>
          </cell>
          <cell r="P410">
            <v>6.4950000000000001</v>
          </cell>
        </row>
        <row r="411">
          <cell r="F411" t="str">
            <v>LL-16-3398</v>
          </cell>
          <cell r="G411" t="str">
            <v>FlowArt: Stitch-By-Line, Home Sweet Home</v>
          </cell>
          <cell r="H411" t="str">
            <v>Y</v>
          </cell>
          <cell r="I411" t="str">
            <v>598</v>
          </cell>
          <cell r="J411">
            <v>810076215983</v>
          </cell>
          <cell r="K411">
            <v>50810076215988</v>
          </cell>
          <cell r="L411">
            <v>30810076215984</v>
          </cell>
          <cell r="M411">
            <v>4</v>
          </cell>
          <cell r="N411">
            <v>12</v>
          </cell>
          <cell r="O411">
            <v>12.99</v>
          </cell>
          <cell r="P411">
            <v>6.4950000000000001</v>
          </cell>
        </row>
        <row r="412">
          <cell r="F412" t="str">
            <v>LL-16-3422</v>
          </cell>
          <cell r="G412" t="str">
            <v>FlowArt: Stitch-By-Line: Spring Birds</v>
          </cell>
          <cell r="H412" t="str">
            <v>Y</v>
          </cell>
          <cell r="I412" t="str">
            <v>639</v>
          </cell>
          <cell r="J412">
            <v>810076216393</v>
          </cell>
          <cell r="K412">
            <v>50810076216398</v>
          </cell>
          <cell r="L412">
            <v>30810076216394</v>
          </cell>
          <cell r="M412">
            <v>4</v>
          </cell>
          <cell r="N412">
            <v>12</v>
          </cell>
          <cell r="O412">
            <v>12.99</v>
          </cell>
          <cell r="P412">
            <v>6.4950000000000001</v>
          </cell>
        </row>
        <row r="413">
          <cell r="F413" t="str">
            <v>LL-16-3530</v>
          </cell>
          <cell r="G413" t="str">
            <v>FlowArt: Stitch-to-Quilt, #2</v>
          </cell>
          <cell r="H413" t="str">
            <v>N</v>
          </cell>
          <cell r="I413" t="str">
            <v/>
          </cell>
          <cell r="M413">
            <v>4</v>
          </cell>
          <cell r="N413">
            <v>12</v>
          </cell>
          <cell r="O413">
            <v>12.99</v>
          </cell>
          <cell r="P413">
            <v>6.4950000000000001</v>
          </cell>
        </row>
        <row r="414">
          <cell r="F414" t="str">
            <v>LL-16-3424</v>
          </cell>
          <cell r="G414" t="str">
            <v>FlowArt: Stitch-to-Quilt, Modern Quilts</v>
          </cell>
          <cell r="H414" t="str">
            <v>Y</v>
          </cell>
          <cell r="I414" t="str">
            <v>641</v>
          </cell>
          <cell r="J414">
            <v>810076216416</v>
          </cell>
          <cell r="K414">
            <v>50810076216411</v>
          </cell>
          <cell r="L414">
            <v>30810076216417</v>
          </cell>
          <cell r="M414">
            <v>4</v>
          </cell>
          <cell r="N414">
            <v>12</v>
          </cell>
          <cell r="O414">
            <v>12.99</v>
          </cell>
          <cell r="P414">
            <v>6.4950000000000001</v>
          </cell>
        </row>
        <row r="415">
          <cell r="F415" t="str">
            <v>LL-16-3423</v>
          </cell>
          <cell r="G415" t="str">
            <v>FlowArt: Stitch-To-Embroider: Nature's Canvas</v>
          </cell>
          <cell r="H415" t="str">
            <v>Y</v>
          </cell>
          <cell r="I415" t="str">
            <v>640</v>
          </cell>
          <cell r="J415">
            <v>810076216409</v>
          </cell>
          <cell r="K415">
            <v>50810076216404</v>
          </cell>
          <cell r="L415">
            <v>30810076216400</v>
          </cell>
          <cell r="M415">
            <v>4</v>
          </cell>
          <cell r="N415">
            <v>12</v>
          </cell>
          <cell r="O415">
            <v>12.99</v>
          </cell>
          <cell r="P415">
            <v>6.4950000000000001</v>
          </cell>
        </row>
        <row r="416">
          <cell r="F416" t="str">
            <v>LL-16-3531</v>
          </cell>
          <cell r="G416" t="str">
            <v>FlowArt: Stitch-by-Needlepoint, Sown with Love</v>
          </cell>
          <cell r="H416" t="str">
            <v>Y</v>
          </cell>
          <cell r="I416" t="str">
            <v>737</v>
          </cell>
          <cell r="J416">
            <v>810076217376</v>
          </cell>
          <cell r="K416">
            <v>50810076217371</v>
          </cell>
          <cell r="L416">
            <v>30810076217377</v>
          </cell>
          <cell r="M416">
            <v>4</v>
          </cell>
          <cell r="N416">
            <v>12</v>
          </cell>
          <cell r="O416">
            <v>12.99</v>
          </cell>
          <cell r="P416">
            <v>6.4950000000000001</v>
          </cell>
        </row>
        <row r="417">
          <cell r="F417" t="str">
            <v>LL-16-3334</v>
          </cell>
          <cell r="G417" t="str">
            <v>FlowArt: Premium #1 - Mandalas</v>
          </cell>
          <cell r="H417" t="str">
            <v>Y</v>
          </cell>
          <cell r="I417" t="str">
            <v>527</v>
          </cell>
          <cell r="J417">
            <v>810076215273</v>
          </cell>
          <cell r="K417">
            <v>50810076215278</v>
          </cell>
          <cell r="L417">
            <v>30810076215274</v>
          </cell>
          <cell r="M417">
            <v>4</v>
          </cell>
          <cell r="N417">
            <v>12</v>
          </cell>
          <cell r="O417">
            <v>19.989999999999998</v>
          </cell>
          <cell r="P417">
            <v>9.9949999999999992</v>
          </cell>
        </row>
        <row r="418">
          <cell r="F418" t="str">
            <v>LL-16-3335</v>
          </cell>
          <cell r="G418" t="str">
            <v>FlowArt: Premium #2 - Museum Masterpieces</v>
          </cell>
          <cell r="H418" t="str">
            <v>Y</v>
          </cell>
          <cell r="I418" t="str">
            <v>528</v>
          </cell>
          <cell r="J418">
            <v>810076215280</v>
          </cell>
          <cell r="K418">
            <v>50810076215285</v>
          </cell>
          <cell r="L418">
            <v>30810076215281</v>
          </cell>
          <cell r="M418">
            <v>4</v>
          </cell>
          <cell r="N418">
            <v>12</v>
          </cell>
          <cell r="O418">
            <v>19.989999999999998</v>
          </cell>
          <cell r="P418">
            <v>9.9949999999999992</v>
          </cell>
        </row>
        <row r="419">
          <cell r="F419" t="str">
            <v>LL-16-3336</v>
          </cell>
          <cell r="G419" t="str">
            <v>FlowArt: Premium #3 - The Great Outdoors</v>
          </cell>
          <cell r="H419" t="str">
            <v>Y</v>
          </cell>
          <cell r="I419" t="str">
            <v>529</v>
          </cell>
          <cell r="J419">
            <v>810076215297</v>
          </cell>
          <cell r="K419">
            <v>50810076215292</v>
          </cell>
          <cell r="L419">
            <v>30810076215298</v>
          </cell>
          <cell r="M419">
            <v>4</v>
          </cell>
          <cell r="N419">
            <v>12</v>
          </cell>
          <cell r="O419">
            <v>19.989999999999998</v>
          </cell>
          <cell r="P419">
            <v>9.9949999999999992</v>
          </cell>
        </row>
        <row r="420">
          <cell r="F420" t="str">
            <v>LL-16-3594</v>
          </cell>
          <cell r="G420" t="str">
            <v>FlowArt: Premium: Cross-Stitch #1</v>
          </cell>
          <cell r="H420" t="str">
            <v>N</v>
          </cell>
          <cell r="I420" t="str">
            <v/>
          </cell>
          <cell r="M420">
            <v>4</v>
          </cell>
          <cell r="N420">
            <v>12</v>
          </cell>
          <cell r="O420">
            <v>19.989999999999998</v>
          </cell>
          <cell r="P420">
            <v>9.9949999999999992</v>
          </cell>
        </row>
        <row r="421">
          <cell r="F421" t="str">
            <v>LL-16-3595</v>
          </cell>
          <cell r="G421" t="str">
            <v>FlowArt: Large Format: Cross-Stitch #1</v>
          </cell>
          <cell r="H421" t="str">
            <v>N</v>
          </cell>
          <cell r="I421" t="str">
            <v/>
          </cell>
          <cell r="M421">
            <v>4</v>
          </cell>
          <cell r="N421">
            <v>12</v>
          </cell>
          <cell r="O421">
            <v>19.989999999999998</v>
          </cell>
          <cell r="P421">
            <v>9.9949999999999992</v>
          </cell>
        </row>
        <row r="422">
          <cell r="F422" t="str">
            <v>LL-16-3596</v>
          </cell>
          <cell r="G422" t="str">
            <v>FlowArt: Premium: Trace-By-Line #1</v>
          </cell>
          <cell r="H422" t="str">
            <v>N</v>
          </cell>
          <cell r="I422" t="str">
            <v/>
          </cell>
          <cell r="M422">
            <v>4</v>
          </cell>
          <cell r="N422">
            <v>12</v>
          </cell>
          <cell r="O422">
            <v>19.989999999999998</v>
          </cell>
          <cell r="P422">
            <v>9.9949999999999992</v>
          </cell>
        </row>
        <row r="423">
          <cell r="F423" t="str">
            <v>LL-16-3337</v>
          </cell>
          <cell r="G423" t="str">
            <v>FlowArt: Premium #4 - Large Dot - Floral Splendor</v>
          </cell>
          <cell r="H423" t="str">
            <v>Y</v>
          </cell>
          <cell r="I423" t="str">
            <v>530</v>
          </cell>
          <cell r="J423">
            <v>810076215303</v>
          </cell>
          <cell r="K423">
            <v>50810076215308</v>
          </cell>
          <cell r="L423">
            <v>30810076215304</v>
          </cell>
          <cell r="M423">
            <v>4</v>
          </cell>
          <cell r="N423">
            <v>12</v>
          </cell>
          <cell r="O423">
            <v>19.989999999999998</v>
          </cell>
          <cell r="P423">
            <v>9.9949999999999992</v>
          </cell>
        </row>
        <row r="424">
          <cell r="F424" t="str">
            <v>LL-16-3388</v>
          </cell>
          <cell r="G424" t="str">
            <v>FlowArt: Premium #5 - Large Dot - Simple Pleasures</v>
          </cell>
          <cell r="H424" t="str">
            <v>Y</v>
          </cell>
          <cell r="I424" t="str">
            <v>588</v>
          </cell>
          <cell r="J424">
            <v>810076215884</v>
          </cell>
          <cell r="K424">
            <v>50810076215889</v>
          </cell>
          <cell r="L424">
            <v>30810076215885</v>
          </cell>
          <cell r="M424">
            <v>4</v>
          </cell>
          <cell r="N424">
            <v>12</v>
          </cell>
          <cell r="O424">
            <v>19.989999999999998</v>
          </cell>
          <cell r="P424">
            <v>9.9949999999999992</v>
          </cell>
        </row>
        <row r="425">
          <cell r="F425" t="str">
            <v>LL-20-3311</v>
          </cell>
          <cell r="G425" t="str">
            <v>FlowArt: Mini, 6Pck #1</v>
          </cell>
          <cell r="H425" t="str">
            <v>N</v>
          </cell>
          <cell r="I425" t="str">
            <v>499</v>
          </cell>
          <cell r="J425">
            <v>810076214993</v>
          </cell>
          <cell r="K425">
            <v>50810076214998</v>
          </cell>
          <cell r="L425">
            <v>30810076214994</v>
          </cell>
          <cell r="M425"/>
          <cell r="N425"/>
          <cell r="O425">
            <v>37.99</v>
          </cell>
          <cell r="P425">
            <v>18.995000000000001</v>
          </cell>
        </row>
        <row r="426">
          <cell r="F426" t="str">
            <v>LL-20-3363</v>
          </cell>
          <cell r="G426" t="str">
            <v>FlowArt: Mini, 3Pck - Retail #1</v>
          </cell>
          <cell r="H426" t="str">
            <v>Y</v>
          </cell>
          <cell r="I426" t="str">
            <v>560</v>
          </cell>
          <cell r="J426">
            <v>810076215600</v>
          </cell>
          <cell r="K426">
            <v>50810076215605</v>
          </cell>
          <cell r="L426">
            <v>30810076215601</v>
          </cell>
          <cell r="M426">
            <v>4</v>
          </cell>
          <cell r="N426">
            <v>12</v>
          </cell>
          <cell r="O426">
            <v>19.989999999999998</v>
          </cell>
          <cell r="P426">
            <v>9.9949999999999992</v>
          </cell>
        </row>
        <row r="427">
          <cell r="F427" t="str">
            <v>LL-20-3364</v>
          </cell>
          <cell r="G427" t="str">
            <v>FlowArt: Mini, 3Pck - Retail #2</v>
          </cell>
          <cell r="H427" t="str">
            <v>Y</v>
          </cell>
          <cell r="I427" t="str">
            <v>561</v>
          </cell>
          <cell r="J427">
            <v>810076215617</v>
          </cell>
          <cell r="K427">
            <v>50810076215612</v>
          </cell>
          <cell r="L427">
            <v>30810076215618</v>
          </cell>
          <cell r="M427">
            <v>4</v>
          </cell>
          <cell r="N427">
            <v>12</v>
          </cell>
          <cell r="O427">
            <v>19.989999999999998</v>
          </cell>
          <cell r="P427">
            <v>9.9949999999999992</v>
          </cell>
        </row>
        <row r="428">
          <cell r="F428" t="str">
            <v>LL-20-3495</v>
          </cell>
          <cell r="G428" t="str">
            <v>FlowArt: Mini, 3Pck [Petals + NW + FF] - Retail</v>
          </cell>
          <cell r="H428" t="str">
            <v>Y</v>
          </cell>
          <cell r="I428" t="str">
            <v>709</v>
          </cell>
          <cell r="J428">
            <v>810076217093</v>
          </cell>
          <cell r="K428">
            <v>50810076217098</v>
          </cell>
          <cell r="L428">
            <v>30810076217094</v>
          </cell>
          <cell r="M428">
            <v>4</v>
          </cell>
          <cell r="N428">
            <v>12</v>
          </cell>
          <cell r="O428">
            <v>19.989999999999998</v>
          </cell>
          <cell r="P428">
            <v>9.9949999999999992</v>
          </cell>
        </row>
        <row r="429">
          <cell r="F429" t="str">
            <v>LL-20-3229</v>
          </cell>
          <cell r="G429" t="str">
            <v>FlowArt: Mini Single - Enchanted Magic</v>
          </cell>
          <cell r="H429" t="str">
            <v>Y</v>
          </cell>
          <cell r="I429" t="str">
            <v>401</v>
          </cell>
          <cell r="J429">
            <v>810076214016</v>
          </cell>
          <cell r="K429">
            <v>50810076214011</v>
          </cell>
          <cell r="L429">
            <v>30810076214017</v>
          </cell>
          <cell r="M429">
            <v>6</v>
          </cell>
          <cell r="N429">
            <v>24</v>
          </cell>
          <cell r="O429">
            <v>6.99</v>
          </cell>
          <cell r="P429">
            <v>3.4950000000000001</v>
          </cell>
        </row>
        <row r="430">
          <cell r="F430" t="str">
            <v>LL-20-3230</v>
          </cell>
          <cell r="G430" t="str">
            <v>FlowArt: Mini Single - Pretty Petals</v>
          </cell>
          <cell r="H430" t="str">
            <v>Y</v>
          </cell>
          <cell r="I430" t="str">
            <v>402</v>
          </cell>
          <cell r="J430">
            <v>810076214023</v>
          </cell>
          <cell r="K430">
            <v>50810076214028</v>
          </cell>
          <cell r="L430">
            <v>30810076214024</v>
          </cell>
          <cell r="M430">
            <v>6</v>
          </cell>
          <cell r="N430">
            <v>24</v>
          </cell>
          <cell r="O430">
            <v>6.99</v>
          </cell>
          <cell r="P430">
            <v>3.4950000000000001</v>
          </cell>
        </row>
        <row r="431">
          <cell r="F431" t="str">
            <v>LL-20-3230-B</v>
          </cell>
          <cell r="G431" t="str">
            <v>FlowArt: Mini Single - Pretty Petals - CRACKER BARREL</v>
          </cell>
          <cell r="H431" t="str">
            <v>N</v>
          </cell>
          <cell r="I431" t="str">
            <v/>
          </cell>
          <cell r="M431">
            <v>6</v>
          </cell>
          <cell r="N431">
            <v>24</v>
          </cell>
          <cell r="O431">
            <v>6.99</v>
          </cell>
          <cell r="P431">
            <v>3.4950000000000001</v>
          </cell>
        </row>
        <row r="432">
          <cell r="F432" t="str">
            <v>LL-20-3231</v>
          </cell>
          <cell r="G432" t="str">
            <v>FlowArt: Mini Single - Nature's Wonders</v>
          </cell>
          <cell r="H432" t="str">
            <v>Y</v>
          </cell>
          <cell r="I432" t="str">
            <v>403</v>
          </cell>
          <cell r="J432">
            <v>810076214030</v>
          </cell>
          <cell r="K432">
            <v>50810076214035</v>
          </cell>
          <cell r="L432">
            <v>30810076214031</v>
          </cell>
          <cell r="M432">
            <v>6</v>
          </cell>
          <cell r="N432">
            <v>24</v>
          </cell>
          <cell r="O432">
            <v>6.99</v>
          </cell>
          <cell r="P432">
            <v>3.4950000000000001</v>
          </cell>
        </row>
        <row r="433">
          <cell r="F433" t="str">
            <v>LL-20-3227</v>
          </cell>
          <cell r="G433" t="str">
            <v>FlowArt: Mini Single - Pocket Positivity</v>
          </cell>
          <cell r="H433" t="str">
            <v>Y</v>
          </cell>
          <cell r="I433" t="str">
            <v>399</v>
          </cell>
          <cell r="J433">
            <v>810076213996</v>
          </cell>
          <cell r="K433">
            <v>50810076213991</v>
          </cell>
          <cell r="L433">
            <v>30810076213997</v>
          </cell>
          <cell r="M433">
            <v>6</v>
          </cell>
          <cell r="N433">
            <v>24</v>
          </cell>
          <cell r="O433">
            <v>6.99</v>
          </cell>
          <cell r="P433">
            <v>3.4950000000000001</v>
          </cell>
        </row>
        <row r="434">
          <cell r="F434" t="str">
            <v>LL-20-3228</v>
          </cell>
          <cell r="G434" t="str">
            <v>FlowArt: Mini Single - Café Comforts</v>
          </cell>
          <cell r="H434" t="str">
            <v>Y</v>
          </cell>
          <cell r="I434" t="str">
            <v>400</v>
          </cell>
          <cell r="J434">
            <v>810076214009</v>
          </cell>
          <cell r="K434">
            <v>50810076214004</v>
          </cell>
          <cell r="L434">
            <v>30810076214000</v>
          </cell>
          <cell r="M434">
            <v>6</v>
          </cell>
          <cell r="N434">
            <v>24</v>
          </cell>
          <cell r="O434">
            <v>6.99</v>
          </cell>
          <cell r="P434">
            <v>3.4950000000000001</v>
          </cell>
        </row>
        <row r="435">
          <cell r="F435" t="str">
            <v>LL-20-3232</v>
          </cell>
          <cell r="G435" t="str">
            <v>FlowArt: Mini Single - Furry Friends</v>
          </cell>
          <cell r="H435" t="str">
            <v>Y</v>
          </cell>
          <cell r="I435" t="str">
            <v>404</v>
          </cell>
          <cell r="J435">
            <v>810076214047</v>
          </cell>
          <cell r="K435">
            <v>50810076214042</v>
          </cell>
          <cell r="L435">
            <v>30810076214048</v>
          </cell>
          <cell r="M435">
            <v>6</v>
          </cell>
          <cell r="N435">
            <v>24</v>
          </cell>
          <cell r="O435">
            <v>6.99</v>
          </cell>
          <cell r="P435">
            <v>3.4950000000000001</v>
          </cell>
        </row>
        <row r="436">
          <cell r="F436" t="str">
            <v>LL-20-3312</v>
          </cell>
          <cell r="G436" t="str">
            <v>FlowArt: Mini, 6Pck #2</v>
          </cell>
          <cell r="H436" t="str">
            <v>N</v>
          </cell>
          <cell r="I436" t="str">
            <v>500</v>
          </cell>
          <cell r="J436">
            <v>810076215006</v>
          </cell>
          <cell r="K436">
            <v>50810076215001</v>
          </cell>
          <cell r="L436">
            <v>30810076215007</v>
          </cell>
          <cell r="M436"/>
          <cell r="N436"/>
          <cell r="O436">
            <v>37.99</v>
          </cell>
          <cell r="P436">
            <v>18.995000000000001</v>
          </cell>
        </row>
        <row r="437">
          <cell r="F437" t="str">
            <v>LL-20-3494</v>
          </cell>
          <cell r="G437" t="str">
            <v>FlowArt: Mini, 3Pck [Calm + Cottage + Paradise] - Retail</v>
          </cell>
          <cell r="H437" t="str">
            <v>Y</v>
          </cell>
          <cell r="I437" t="str">
            <v>710</v>
          </cell>
          <cell r="J437">
            <v>810076217109</v>
          </cell>
          <cell r="K437">
            <v>50810076217104</v>
          </cell>
          <cell r="L437">
            <v>30810076217100</v>
          </cell>
          <cell r="M437">
            <v>4</v>
          </cell>
          <cell r="N437">
            <v>12</v>
          </cell>
          <cell r="O437">
            <v>19.989999999999998</v>
          </cell>
          <cell r="P437">
            <v>9.9949999999999992</v>
          </cell>
        </row>
        <row r="438">
          <cell r="F438" t="str">
            <v>LL-20-3293</v>
          </cell>
          <cell r="G438" t="str">
            <v>FlowArt: Mini Single - Costal Calm</v>
          </cell>
          <cell r="H438" t="str">
            <v>Y</v>
          </cell>
          <cell r="I438" t="str">
            <v>479</v>
          </cell>
          <cell r="J438">
            <v>810076214795</v>
          </cell>
          <cell r="K438">
            <v>50810076214790</v>
          </cell>
          <cell r="L438">
            <v>30810076214796</v>
          </cell>
          <cell r="M438">
            <v>6</v>
          </cell>
          <cell r="N438">
            <v>24</v>
          </cell>
          <cell r="O438">
            <v>6.99</v>
          </cell>
          <cell r="P438">
            <v>3.4950000000000001</v>
          </cell>
        </row>
        <row r="439">
          <cell r="F439" t="str">
            <v>LL-20-3294</v>
          </cell>
          <cell r="G439" t="str">
            <v>FlowArt: Mini Single - Into the Wild</v>
          </cell>
          <cell r="H439" t="str">
            <v>Y</v>
          </cell>
          <cell r="I439" t="str">
            <v>480</v>
          </cell>
          <cell r="J439">
            <v>810076214801</v>
          </cell>
          <cell r="K439">
            <v>50810076214806</v>
          </cell>
          <cell r="L439">
            <v>30810076214802</v>
          </cell>
          <cell r="M439">
            <v>6</v>
          </cell>
          <cell r="N439">
            <v>24</v>
          </cell>
          <cell r="O439">
            <v>6.99</v>
          </cell>
          <cell r="P439">
            <v>3.4950000000000001</v>
          </cell>
        </row>
        <row r="440">
          <cell r="F440" t="str">
            <v>LL-20-3295</v>
          </cell>
          <cell r="G440" t="str">
            <v>FlowArt: Mini Single - Cottage Garden</v>
          </cell>
          <cell r="H440" t="str">
            <v>Y</v>
          </cell>
          <cell r="I440" t="str">
            <v>481</v>
          </cell>
          <cell r="J440">
            <v>810076214818</v>
          </cell>
          <cell r="K440">
            <v>50810076214813</v>
          </cell>
          <cell r="L440">
            <v>30810076214819</v>
          </cell>
          <cell r="M440">
            <v>6</v>
          </cell>
          <cell r="N440">
            <v>24</v>
          </cell>
          <cell r="O440">
            <v>6.99</v>
          </cell>
          <cell r="P440">
            <v>3.4950000000000001</v>
          </cell>
        </row>
        <row r="441">
          <cell r="F441" t="str">
            <v>LL-20-3296</v>
          </cell>
          <cell r="G441" t="str">
            <v>FlowArt: Mini Single - Plant Paradise</v>
          </cell>
          <cell r="H441" t="str">
            <v>Y</v>
          </cell>
          <cell r="I441" t="str">
            <v>482</v>
          </cell>
          <cell r="J441">
            <v>810076214825</v>
          </cell>
          <cell r="K441">
            <v>50810076214820</v>
          </cell>
          <cell r="L441">
            <v>30810076214826</v>
          </cell>
          <cell r="M441">
            <v>6</v>
          </cell>
          <cell r="N441">
            <v>24</v>
          </cell>
          <cell r="O441">
            <v>6.99</v>
          </cell>
          <cell r="P441">
            <v>3.4950000000000001</v>
          </cell>
        </row>
        <row r="442">
          <cell r="F442" t="str">
            <v>LL-20-3297</v>
          </cell>
          <cell r="G442" t="str">
            <v>FlowArt: Mini Single - Postcard Places</v>
          </cell>
          <cell r="H442" t="str">
            <v>Y</v>
          </cell>
          <cell r="I442" t="str">
            <v>483</v>
          </cell>
          <cell r="J442">
            <v>810076214832</v>
          </cell>
          <cell r="K442">
            <v>50810076214837</v>
          </cell>
          <cell r="L442">
            <v>30810076214833</v>
          </cell>
          <cell r="M442">
            <v>6</v>
          </cell>
          <cell r="N442">
            <v>24</v>
          </cell>
          <cell r="O442">
            <v>6.99</v>
          </cell>
          <cell r="P442">
            <v>3.4950000000000001</v>
          </cell>
        </row>
        <row r="443">
          <cell r="F443" t="str">
            <v>LL-20-3298</v>
          </cell>
          <cell r="G443" t="str">
            <v>FlowArt: Mini Single - Small Town Serenity</v>
          </cell>
          <cell r="H443" t="str">
            <v>Y</v>
          </cell>
          <cell r="I443" t="str">
            <v>484</v>
          </cell>
          <cell r="J443">
            <v>810076214849</v>
          </cell>
          <cell r="K443">
            <v>50810076214844</v>
          </cell>
          <cell r="L443">
            <v>30810076214840</v>
          </cell>
          <cell r="M443">
            <v>6</v>
          </cell>
          <cell r="N443">
            <v>24</v>
          </cell>
          <cell r="O443">
            <v>6.99</v>
          </cell>
          <cell r="P443">
            <v>3.4950000000000001</v>
          </cell>
        </row>
        <row r="444">
          <cell r="F444" t="str">
            <v>LL-20-3533</v>
          </cell>
          <cell r="G444" t="str">
            <v>FlowArt: Mini Single - Dot-By-Letter [Neon] #1</v>
          </cell>
          <cell r="H444" t="str">
            <v>N</v>
          </cell>
          <cell r="I444" t="str">
            <v/>
          </cell>
          <cell r="M444">
            <v>6</v>
          </cell>
          <cell r="N444">
            <v>24</v>
          </cell>
          <cell r="O444">
            <v>6.99</v>
          </cell>
          <cell r="P444">
            <v>3.4950000000000001</v>
          </cell>
        </row>
        <row r="445">
          <cell r="F445" t="str">
            <v>LL-20-3534</v>
          </cell>
          <cell r="G445" t="str">
            <v>FlowArt: Mini Single - Dot-By-Letter [Neon] #2</v>
          </cell>
          <cell r="H445" t="str">
            <v>N</v>
          </cell>
          <cell r="I445" t="str">
            <v/>
          </cell>
          <cell r="M445">
            <v>6</v>
          </cell>
          <cell r="N445">
            <v>24</v>
          </cell>
          <cell r="O445">
            <v>6.99</v>
          </cell>
          <cell r="P445">
            <v>3.4950000000000001</v>
          </cell>
        </row>
        <row r="446">
          <cell r="F446" t="str">
            <v>LL-20-3535</v>
          </cell>
          <cell r="G446" t="str">
            <v>FlowArt: Mini Single - Dot-By-Letter [Neon] #3</v>
          </cell>
          <cell r="H446" t="str">
            <v>N</v>
          </cell>
          <cell r="I446" t="str">
            <v/>
          </cell>
          <cell r="M446">
            <v>6</v>
          </cell>
          <cell r="N446">
            <v>24</v>
          </cell>
          <cell r="O446">
            <v>6.99</v>
          </cell>
          <cell r="P446">
            <v>3.4950000000000001</v>
          </cell>
        </row>
        <row r="447">
          <cell r="F447" t="str">
            <v>LL-20-3537</v>
          </cell>
          <cell r="G447" t="str">
            <v>FlowArt: Mini, Dot-By-Letter [Neon] Retail 3Pck</v>
          </cell>
          <cell r="H447" t="str">
            <v>N</v>
          </cell>
          <cell r="I447" t="str">
            <v/>
          </cell>
          <cell r="J447"/>
          <cell r="K447"/>
          <cell r="L447"/>
          <cell r="M447">
            <v>4</v>
          </cell>
          <cell r="N447">
            <v>12</v>
          </cell>
          <cell r="O447">
            <v>19.989999999999998</v>
          </cell>
          <cell r="P447">
            <v>9.9949999999999992</v>
          </cell>
        </row>
        <row r="448">
          <cell r="F448" t="str">
            <v>LL-20-3541</v>
          </cell>
          <cell r="G448" t="str">
            <v>FlowArt: Mini Single - Sugar Rush</v>
          </cell>
          <cell r="H448" t="str">
            <v>Y</v>
          </cell>
          <cell r="I448" t="str">
            <v>752</v>
          </cell>
          <cell r="J448">
            <v>810076217529</v>
          </cell>
          <cell r="K448">
            <v>50810076217524</v>
          </cell>
          <cell r="L448">
            <v>30810076217520</v>
          </cell>
          <cell r="M448">
            <v>6</v>
          </cell>
          <cell r="N448">
            <v>24</v>
          </cell>
          <cell r="O448">
            <v>6.99</v>
          </cell>
          <cell r="P448">
            <v>3.4950000000000001</v>
          </cell>
        </row>
        <row r="449">
          <cell r="F449" t="str">
            <v>LL-20-3542</v>
          </cell>
          <cell r="G449" t="str">
            <v>FlowArt: Mini Single - Sundae Funday</v>
          </cell>
          <cell r="H449" t="str">
            <v>Y</v>
          </cell>
          <cell r="I449" t="str">
            <v>753</v>
          </cell>
          <cell r="J449">
            <v>810076217536</v>
          </cell>
          <cell r="K449">
            <v>50810076217531</v>
          </cell>
          <cell r="L449">
            <v>30810076217537</v>
          </cell>
          <cell r="M449">
            <v>6</v>
          </cell>
          <cell r="N449">
            <v>24</v>
          </cell>
          <cell r="O449">
            <v>6.99</v>
          </cell>
          <cell r="P449">
            <v>3.4950000000000001</v>
          </cell>
        </row>
        <row r="450">
          <cell r="F450" t="str">
            <v>LL-20-3543</v>
          </cell>
          <cell r="G450" t="str">
            <v>FlowArt: Mini Single - Candy Corner</v>
          </cell>
          <cell r="H450" t="str">
            <v>Y</v>
          </cell>
          <cell r="I450" t="str">
            <v>754</v>
          </cell>
          <cell r="J450">
            <v>810076217543</v>
          </cell>
          <cell r="K450">
            <v>50810076217548</v>
          </cell>
          <cell r="L450">
            <v>30810076217544</v>
          </cell>
          <cell r="M450">
            <v>6</v>
          </cell>
          <cell r="N450">
            <v>24</v>
          </cell>
          <cell r="O450">
            <v>6.99</v>
          </cell>
          <cell r="P450">
            <v>3.4950000000000001</v>
          </cell>
        </row>
        <row r="451">
          <cell r="F451" t="str">
            <v>LL-20-3544</v>
          </cell>
          <cell r="G451" t="str">
            <v>FlowArt: Mini, Sweet Treats &amp; Dessert Shop Retail 3Pck</v>
          </cell>
          <cell r="H451" t="str">
            <v>N</v>
          </cell>
          <cell r="I451" t="str">
            <v>755</v>
          </cell>
          <cell r="J451">
            <v>810076217550</v>
          </cell>
          <cell r="K451">
            <v>50810076217555</v>
          </cell>
          <cell r="L451">
            <v>30810076217551</v>
          </cell>
          <cell r="M451">
            <v>4</v>
          </cell>
          <cell r="N451">
            <v>12</v>
          </cell>
          <cell r="O451">
            <v>19.989999999999998</v>
          </cell>
          <cell r="P451">
            <v>9.9949999999999992</v>
          </cell>
        </row>
        <row r="452">
          <cell r="F452" t="str">
            <v>LL-20-3578</v>
          </cell>
          <cell r="G452" t="str">
            <v>FlowArt: Mini Single - Animals #1</v>
          </cell>
          <cell r="H452" t="str">
            <v>N</v>
          </cell>
          <cell r="I452" t="str">
            <v/>
          </cell>
          <cell r="M452">
            <v>6</v>
          </cell>
          <cell r="N452">
            <v>24</v>
          </cell>
          <cell r="O452">
            <v>6.99</v>
          </cell>
          <cell r="P452">
            <v>3.4950000000000001</v>
          </cell>
        </row>
        <row r="453">
          <cell r="F453" t="str">
            <v>LL-20-3579</v>
          </cell>
          <cell r="G453" t="str">
            <v>FlowArt: Mini Single - Animals #2</v>
          </cell>
          <cell r="H453" t="str">
            <v>N</v>
          </cell>
          <cell r="I453" t="str">
            <v/>
          </cell>
          <cell r="M453">
            <v>6</v>
          </cell>
          <cell r="N453">
            <v>24</v>
          </cell>
          <cell r="O453">
            <v>6.99</v>
          </cell>
          <cell r="P453">
            <v>3.4950000000000001</v>
          </cell>
        </row>
        <row r="454">
          <cell r="F454" t="str">
            <v>LL-20-3580</v>
          </cell>
          <cell r="G454" t="str">
            <v>FlowArt: Mini Single - Animals #3</v>
          </cell>
          <cell r="H454" t="str">
            <v>N</v>
          </cell>
          <cell r="I454" t="str">
            <v/>
          </cell>
          <cell r="M454">
            <v>6</v>
          </cell>
          <cell r="N454">
            <v>24</v>
          </cell>
          <cell r="O454">
            <v>6.99</v>
          </cell>
          <cell r="P454">
            <v>3.4950000000000001</v>
          </cell>
        </row>
        <row r="455">
          <cell r="F455" t="str">
            <v>LL-20-3581</v>
          </cell>
          <cell r="G455" t="str">
            <v>FlowArt: Mini, Animals Retail 3Pck</v>
          </cell>
          <cell r="H455" t="str">
            <v>N</v>
          </cell>
          <cell r="I455" t="str">
            <v/>
          </cell>
          <cell r="J455"/>
          <cell r="K455"/>
          <cell r="L455"/>
          <cell r="M455">
            <v>4</v>
          </cell>
          <cell r="N455">
            <v>12</v>
          </cell>
          <cell r="O455">
            <v>19.989999999999998</v>
          </cell>
          <cell r="P455">
            <v>9.9949999999999992</v>
          </cell>
        </row>
        <row r="456">
          <cell r="F456" t="str">
            <v>LL-20-3557</v>
          </cell>
          <cell r="G456" t="str">
            <v>FlowArt: Mini Single - Fall Trace-By-Line #1</v>
          </cell>
          <cell r="H456" t="str">
            <v>N</v>
          </cell>
          <cell r="I456" t="str">
            <v/>
          </cell>
          <cell r="L456"/>
          <cell r="M456">
            <v>6</v>
          </cell>
          <cell r="N456">
            <v>24</v>
          </cell>
          <cell r="O456">
            <v>6.99</v>
          </cell>
          <cell r="P456">
            <v>3.4950000000000001</v>
          </cell>
        </row>
        <row r="457">
          <cell r="F457" t="str">
            <v>LL-20-3558</v>
          </cell>
          <cell r="G457" t="str">
            <v>FlowArt: Mini Single - Fall Trace-By-Line #2</v>
          </cell>
          <cell r="H457" t="str">
            <v>N</v>
          </cell>
          <cell r="I457" t="str">
            <v/>
          </cell>
          <cell r="M457">
            <v>6</v>
          </cell>
          <cell r="N457">
            <v>24</v>
          </cell>
          <cell r="O457">
            <v>6.99</v>
          </cell>
          <cell r="P457">
            <v>3.4950000000000001</v>
          </cell>
        </row>
        <row r="458">
          <cell r="F458" t="str">
            <v>LL-20-3559</v>
          </cell>
          <cell r="G458" t="str">
            <v>FlowArt: Mini Single - Fall Trace-By-Line #3</v>
          </cell>
          <cell r="H458" t="str">
            <v>N</v>
          </cell>
          <cell r="I458" t="str">
            <v/>
          </cell>
          <cell r="M458">
            <v>6</v>
          </cell>
          <cell r="N458">
            <v>24</v>
          </cell>
          <cell r="O458">
            <v>6.99</v>
          </cell>
          <cell r="P458">
            <v>3.4950000000000001</v>
          </cell>
        </row>
        <row r="459">
          <cell r="F459" t="str">
            <v>LL-20-3561</v>
          </cell>
          <cell r="G459" t="str">
            <v>FlowArt: Mini, Fall Trace-By-Line Retail 3Pck</v>
          </cell>
          <cell r="H459" t="str">
            <v>N</v>
          </cell>
          <cell r="I459" t="str">
            <v/>
          </cell>
          <cell r="J459"/>
          <cell r="K459"/>
          <cell r="L459"/>
          <cell r="M459">
            <v>4</v>
          </cell>
          <cell r="N459">
            <v>12</v>
          </cell>
          <cell r="O459">
            <v>19.989999999999998</v>
          </cell>
          <cell r="P459">
            <v>9.9949999999999992</v>
          </cell>
        </row>
        <row r="460">
          <cell r="F460" t="str">
            <v>LL-20-3562</v>
          </cell>
          <cell r="G460" t="str">
            <v>FlowArt: Mini Single - Halloween Dot-By-Letter #1</v>
          </cell>
          <cell r="H460" t="str">
            <v>N</v>
          </cell>
          <cell r="I460" t="str">
            <v/>
          </cell>
          <cell r="M460">
            <v>6</v>
          </cell>
          <cell r="N460">
            <v>24</v>
          </cell>
          <cell r="O460">
            <v>6.99</v>
          </cell>
          <cell r="P460">
            <v>3.4950000000000001</v>
          </cell>
        </row>
        <row r="461">
          <cell r="F461" t="str">
            <v>LL-20-3563</v>
          </cell>
          <cell r="G461" t="str">
            <v>FlowArt: Mini Single - Halloween Dot-By-Letter #2</v>
          </cell>
          <cell r="H461" t="str">
            <v>N</v>
          </cell>
          <cell r="I461" t="str">
            <v/>
          </cell>
          <cell r="M461">
            <v>6</v>
          </cell>
          <cell r="N461">
            <v>24</v>
          </cell>
          <cell r="O461">
            <v>6.99</v>
          </cell>
          <cell r="P461">
            <v>3.4950000000000001</v>
          </cell>
        </row>
        <row r="462">
          <cell r="F462" t="str">
            <v>LL-20-3564</v>
          </cell>
          <cell r="G462" t="str">
            <v>FlowArt: Mini Single - Halloween Dot-By-Letter #3</v>
          </cell>
          <cell r="H462" t="str">
            <v>N</v>
          </cell>
          <cell r="I462" t="str">
            <v/>
          </cell>
          <cell r="M462">
            <v>6</v>
          </cell>
          <cell r="N462">
            <v>24</v>
          </cell>
          <cell r="O462">
            <v>6.99</v>
          </cell>
          <cell r="P462">
            <v>3.4950000000000001</v>
          </cell>
        </row>
        <row r="463">
          <cell r="F463" t="str">
            <v>LL-20-3565</v>
          </cell>
          <cell r="G463" t="str">
            <v>FlowArt: Mini, Halloween Dot-By-Letter Retail 3Pck</v>
          </cell>
          <cell r="H463" t="str">
            <v>N</v>
          </cell>
          <cell r="I463" t="str">
            <v/>
          </cell>
          <cell r="J463"/>
          <cell r="K463"/>
          <cell r="L463"/>
          <cell r="M463">
            <v>4</v>
          </cell>
          <cell r="N463">
            <v>12</v>
          </cell>
          <cell r="O463">
            <v>19.989999999999998</v>
          </cell>
          <cell r="P463">
            <v>9.9949999999999992</v>
          </cell>
        </row>
        <row r="464">
          <cell r="F464" t="str">
            <v>LL-20-3377</v>
          </cell>
          <cell r="G464" t="str">
            <v>FlowArt: Holiday Mini, 3Pck - Retail</v>
          </cell>
          <cell r="H464" t="str">
            <v>N</v>
          </cell>
          <cell r="I464" t="str">
            <v>574</v>
          </cell>
          <cell r="J464">
            <v>810076215747</v>
          </cell>
          <cell r="K464">
            <v>50810076215742</v>
          </cell>
          <cell r="L464">
            <v>30810076215748</v>
          </cell>
          <cell r="M464">
            <v>1</v>
          </cell>
          <cell r="N464">
            <v>6</v>
          </cell>
          <cell r="O464">
            <v>19.989999999999998</v>
          </cell>
          <cell r="P464">
            <v>9.9949999999999992</v>
          </cell>
        </row>
        <row r="465">
          <cell r="F465" t="str">
            <v>LL-20-3250</v>
          </cell>
          <cell r="G465" t="str">
            <v>FlowArt: Mini Single - Deck the Halls [Metallic]</v>
          </cell>
          <cell r="H465" t="str">
            <v>Y</v>
          </cell>
          <cell r="I465" t="str">
            <v>424</v>
          </cell>
          <cell r="J465">
            <v>810076214245</v>
          </cell>
          <cell r="K465">
            <v>50810076214240</v>
          </cell>
          <cell r="L465">
            <v>30810076214246</v>
          </cell>
          <cell r="M465">
            <v>6</v>
          </cell>
          <cell r="N465">
            <v>24</v>
          </cell>
          <cell r="O465">
            <v>6.99</v>
          </cell>
          <cell r="P465">
            <v>3.4950000000000001</v>
          </cell>
        </row>
        <row r="466">
          <cell r="F466" t="str">
            <v>LL-20-3251</v>
          </cell>
          <cell r="G466" t="str">
            <v>FlowArt: Mini Single - Frosted Village [Metallic]</v>
          </cell>
          <cell r="H466" t="str">
            <v>Y</v>
          </cell>
          <cell r="I466" t="str">
            <v>425</v>
          </cell>
          <cell r="J466">
            <v>810076214252</v>
          </cell>
          <cell r="K466">
            <v>50810076214257</v>
          </cell>
          <cell r="L466">
            <v>30810076214253</v>
          </cell>
          <cell r="M466">
            <v>6</v>
          </cell>
          <cell r="N466">
            <v>24</v>
          </cell>
          <cell r="O466">
            <v>6.99</v>
          </cell>
          <cell r="P466">
            <v>3.4950000000000001</v>
          </cell>
        </row>
        <row r="467">
          <cell r="F467" t="str">
            <v>LL-20-3255</v>
          </cell>
          <cell r="G467" t="str">
            <v>FlowArt: Mini Single - Snowflake Serenity [Metallic]</v>
          </cell>
          <cell r="H467" t="str">
            <v>Y</v>
          </cell>
          <cell r="I467" t="str">
            <v>429</v>
          </cell>
          <cell r="J467">
            <v>810076214290</v>
          </cell>
          <cell r="K467">
            <v>50810076214295</v>
          </cell>
          <cell r="L467">
            <v>30810076214291</v>
          </cell>
          <cell r="M467">
            <v>6</v>
          </cell>
          <cell r="N467">
            <v>24</v>
          </cell>
          <cell r="O467">
            <v>6.99</v>
          </cell>
          <cell r="P467">
            <v>3.4950000000000001</v>
          </cell>
        </row>
        <row r="468">
          <cell r="F468" t="str">
            <v>LL-20-3586</v>
          </cell>
          <cell r="G468" t="str">
            <v>FlowArt: Mini, Holiday Cross-Stitch Retail 3Pck</v>
          </cell>
          <cell r="H468" t="str">
            <v>N</v>
          </cell>
          <cell r="I468" t="str">
            <v/>
          </cell>
          <cell r="J468"/>
          <cell r="K468"/>
          <cell r="L468"/>
          <cell r="M468">
            <v>4</v>
          </cell>
          <cell r="N468">
            <v>12</v>
          </cell>
          <cell r="O468">
            <v>19.989999999999998</v>
          </cell>
          <cell r="P468">
            <v>9.9949999999999992</v>
          </cell>
        </row>
        <row r="469">
          <cell r="F469" t="str">
            <v>LL-20-3582</v>
          </cell>
          <cell r="G469" t="str">
            <v>FlowArt: Mini Single - Holiday Cross-Stitch #1</v>
          </cell>
          <cell r="H469" t="str">
            <v>N</v>
          </cell>
          <cell r="I469" t="str">
            <v/>
          </cell>
          <cell r="M469">
            <v>6</v>
          </cell>
          <cell r="N469">
            <v>24</v>
          </cell>
          <cell r="O469">
            <v>6.99</v>
          </cell>
          <cell r="P469">
            <v>3.4950000000000001</v>
          </cell>
        </row>
        <row r="470">
          <cell r="F470" t="str">
            <v>LL-20-3583</v>
          </cell>
          <cell r="G470" t="str">
            <v>FlowArt: Mini Single - Holiday Cross-Stitch #2</v>
          </cell>
          <cell r="H470" t="str">
            <v>N</v>
          </cell>
          <cell r="I470" t="str">
            <v/>
          </cell>
          <cell r="M470">
            <v>6</v>
          </cell>
          <cell r="N470">
            <v>24</v>
          </cell>
          <cell r="O470">
            <v>6.99</v>
          </cell>
          <cell r="P470">
            <v>3.4950000000000001</v>
          </cell>
        </row>
        <row r="471">
          <cell r="F471" t="str">
            <v>LL-20-3584</v>
          </cell>
          <cell r="G471" t="str">
            <v>FlowArt: Mini Single - Holiday Cross-Stitch #3</v>
          </cell>
          <cell r="H471" t="str">
            <v>N</v>
          </cell>
          <cell r="I471" t="str">
            <v/>
          </cell>
          <cell r="J471"/>
          <cell r="K471"/>
          <cell r="L471"/>
          <cell r="M471">
            <v>6</v>
          </cell>
          <cell r="N471">
            <v>24</v>
          </cell>
          <cell r="O471">
            <v>6.99</v>
          </cell>
          <cell r="P471">
            <v>3.4950000000000001</v>
          </cell>
        </row>
        <row r="472">
          <cell r="F472" t="str">
            <v>LL-20-3408</v>
          </cell>
          <cell r="G472" t="str">
            <v>FlowArt: Mini Single - Berry Bliss</v>
          </cell>
          <cell r="H472" t="str">
            <v>Y</v>
          </cell>
          <cell r="I472" t="str">
            <v>608</v>
          </cell>
          <cell r="J472">
            <v>810076216089</v>
          </cell>
          <cell r="K472">
            <v>50810076216084</v>
          </cell>
          <cell r="L472">
            <v>30810076216080</v>
          </cell>
          <cell r="M472">
            <v>6</v>
          </cell>
          <cell r="N472">
            <v>24</v>
          </cell>
          <cell r="O472">
            <v>6.99</v>
          </cell>
          <cell r="P472">
            <v>3.4950000000000001</v>
          </cell>
        </row>
        <row r="473">
          <cell r="F473" t="str">
            <v>LL-20-3409</v>
          </cell>
          <cell r="G473" t="str">
            <v>FlowArt: Mini Single - Hummingbird Haven</v>
          </cell>
          <cell r="H473" t="str">
            <v>Y</v>
          </cell>
          <cell r="I473" t="str">
            <v>609</v>
          </cell>
          <cell r="J473">
            <v>810076216096</v>
          </cell>
          <cell r="K473">
            <v>50810076216091</v>
          </cell>
          <cell r="L473">
            <v>30810076216097</v>
          </cell>
          <cell r="M473">
            <v>6</v>
          </cell>
          <cell r="N473">
            <v>24</v>
          </cell>
          <cell r="O473">
            <v>6.99</v>
          </cell>
          <cell r="P473">
            <v>3.4950000000000001</v>
          </cell>
        </row>
        <row r="474">
          <cell r="F474" t="str">
            <v>LL-20-3410</v>
          </cell>
          <cell r="G474" t="str">
            <v>FlowArt: Mini Single - Wildflower Woods</v>
          </cell>
          <cell r="H474" t="str">
            <v>Y</v>
          </cell>
          <cell r="I474" t="str">
            <v>610</v>
          </cell>
          <cell r="J474">
            <v>810076216102</v>
          </cell>
          <cell r="K474">
            <v>50810076216107</v>
          </cell>
          <cell r="L474">
            <v>30810076216103</v>
          </cell>
          <cell r="M474">
            <v>6</v>
          </cell>
          <cell r="N474">
            <v>24</v>
          </cell>
          <cell r="O474">
            <v>6.99</v>
          </cell>
          <cell r="P474">
            <v>3.4950000000000001</v>
          </cell>
        </row>
        <row r="475">
          <cell r="F475" t="str">
            <v>LL-20-3412</v>
          </cell>
          <cell r="G475" t="str">
            <v>FlowArt: Mini Single - Coastal Calm [HOLD]</v>
          </cell>
          <cell r="H475" t="str">
            <v>Y</v>
          </cell>
          <cell r="I475" t="str">
            <v>614</v>
          </cell>
          <cell r="J475">
            <v>810076216140</v>
          </cell>
          <cell r="K475">
            <v>50810076216145</v>
          </cell>
          <cell r="L475">
            <v>30810076216141</v>
          </cell>
          <cell r="M475">
            <v>6</v>
          </cell>
          <cell r="N475">
            <v>24</v>
          </cell>
          <cell r="O475">
            <v>6.99</v>
          </cell>
          <cell r="P475">
            <v>3.4950000000000001</v>
          </cell>
        </row>
        <row r="476">
          <cell r="F476" t="str">
            <v>LL-20-3413</v>
          </cell>
          <cell r="G476" t="str">
            <v>FlowArt: Mini Single - Sweet Summer [HOLD]</v>
          </cell>
          <cell r="H476" t="str">
            <v>Y</v>
          </cell>
          <cell r="I476" t="str">
            <v>615</v>
          </cell>
          <cell r="J476">
            <v>810076216157</v>
          </cell>
          <cell r="K476">
            <v>50810076216152</v>
          </cell>
          <cell r="L476">
            <v>30810076216158</v>
          </cell>
          <cell r="M476">
            <v>6</v>
          </cell>
          <cell r="N476">
            <v>24</v>
          </cell>
          <cell r="O476">
            <v>6.99</v>
          </cell>
          <cell r="P476">
            <v>3.4950000000000001</v>
          </cell>
        </row>
        <row r="477">
          <cell r="F477" t="str">
            <v>LL-20-3414</v>
          </cell>
          <cell r="G477" t="str">
            <v>FlowArt: Mini Single - Under the Sea [HOLD]</v>
          </cell>
          <cell r="H477" t="str">
            <v>Y</v>
          </cell>
          <cell r="I477" t="str">
            <v>616</v>
          </cell>
          <cell r="J477">
            <v>810076216164</v>
          </cell>
          <cell r="K477">
            <v>50810076216169</v>
          </cell>
          <cell r="L477">
            <v>30810076216165</v>
          </cell>
          <cell r="M477">
            <v>6</v>
          </cell>
          <cell r="N477">
            <v>24</v>
          </cell>
          <cell r="O477">
            <v>6.99</v>
          </cell>
          <cell r="P477">
            <v>3.4950000000000001</v>
          </cell>
        </row>
        <row r="478">
          <cell r="F478" t="str">
            <v>LL-20-3415</v>
          </cell>
          <cell r="G478" t="str">
            <v>FlowArt: Mini Single - Slow Summers [WF Exclusive]</v>
          </cell>
          <cell r="H478" t="str">
            <v>Y</v>
          </cell>
          <cell r="I478" t="str">
            <v>617</v>
          </cell>
          <cell r="J478">
            <v>810076216171</v>
          </cell>
          <cell r="K478">
            <v>50810076216176</v>
          </cell>
          <cell r="L478">
            <v>30810076216172</v>
          </cell>
          <cell r="M478">
            <v>6</v>
          </cell>
          <cell r="N478">
            <v>24</v>
          </cell>
          <cell r="O478">
            <v>6.99</v>
          </cell>
          <cell r="P478">
            <v>3.4950000000000001</v>
          </cell>
        </row>
        <row r="479">
          <cell r="F479" t="str">
            <v>LL-20-3490</v>
          </cell>
          <cell r="G479" t="str">
            <v>FlowArt: Mini, Cross-Stitch-by-Number: [Botanical + Birds + Spring] - Retail</v>
          </cell>
          <cell r="H479" t="str">
            <v>Y</v>
          </cell>
          <cell r="I479" t="str">
            <v>673</v>
          </cell>
          <cell r="J479">
            <v>810076216737</v>
          </cell>
          <cell r="K479">
            <v>50810076216732</v>
          </cell>
          <cell r="L479">
            <v>30810076216738</v>
          </cell>
          <cell r="M479">
            <v>6</v>
          </cell>
          <cell r="N479">
            <v>24</v>
          </cell>
          <cell r="O479">
            <v>19.989999999999998</v>
          </cell>
          <cell r="P479">
            <v>9.9949999999999992</v>
          </cell>
        </row>
        <row r="480">
          <cell r="F480" t="str">
            <v>LL-20-3434</v>
          </cell>
          <cell r="G480" t="str">
            <v xml:space="preserve">FlowArt: Mini Single - Cross-Stitch-by-Number: The Bloom Collection </v>
          </cell>
          <cell r="H480" t="str">
            <v>Y</v>
          </cell>
          <cell r="I480" t="str">
            <v>635</v>
          </cell>
          <cell r="J480">
            <v>810076216355</v>
          </cell>
          <cell r="K480">
            <v>50810076216350</v>
          </cell>
          <cell r="L480">
            <v>30810076216356</v>
          </cell>
          <cell r="M480">
            <v>6</v>
          </cell>
          <cell r="N480">
            <v>24</v>
          </cell>
          <cell r="O480">
            <v>6.99</v>
          </cell>
          <cell r="P480">
            <v>3.4950000000000001</v>
          </cell>
        </row>
        <row r="481">
          <cell r="F481" t="str">
            <v>LL-20-3435</v>
          </cell>
          <cell r="G481" t="str">
            <v xml:space="preserve">FlowArt: Mini Single - Cross-Stitch-by-Number: Songbird Symphony </v>
          </cell>
          <cell r="H481" t="str">
            <v>Y</v>
          </cell>
          <cell r="I481" t="str">
            <v>636</v>
          </cell>
          <cell r="J481">
            <v>810076216362</v>
          </cell>
          <cell r="K481">
            <v>50810076216367</v>
          </cell>
          <cell r="L481">
            <v>30810076216363</v>
          </cell>
          <cell r="M481">
            <v>6</v>
          </cell>
          <cell r="N481">
            <v>24</v>
          </cell>
          <cell r="O481">
            <v>6.99</v>
          </cell>
          <cell r="P481">
            <v>3.4950000000000001</v>
          </cell>
        </row>
        <row r="482">
          <cell r="F482" t="str">
            <v>LL-20-3436</v>
          </cell>
          <cell r="G482" t="str">
            <v xml:space="preserve">FlowArt: Mini Single - Cross-Stitch-by-Number: Spring Splendor </v>
          </cell>
          <cell r="H482" t="str">
            <v>Y</v>
          </cell>
          <cell r="I482" t="str">
            <v>637</v>
          </cell>
          <cell r="J482">
            <v>810076216379</v>
          </cell>
          <cell r="K482">
            <v>50810076216374</v>
          </cell>
          <cell r="L482">
            <v>30810076216370</v>
          </cell>
          <cell r="M482">
            <v>6</v>
          </cell>
          <cell r="N482">
            <v>24</v>
          </cell>
          <cell r="O482">
            <v>6.99</v>
          </cell>
          <cell r="P482">
            <v>3.4950000000000001</v>
          </cell>
        </row>
        <row r="483">
          <cell r="F483" t="str">
            <v>LL-20-3208</v>
          </cell>
          <cell r="G483" t="str">
            <v>FlowArt: Mini, 3Pck #1 [Magic + Pretty P + Nature W] - ECOMM</v>
          </cell>
          <cell r="H483" t="str">
            <v>Y</v>
          </cell>
          <cell r="I483" t="str">
            <v>380</v>
          </cell>
          <cell r="J483">
            <v>810076213804</v>
          </cell>
          <cell r="K483">
            <v>50810076213809</v>
          </cell>
          <cell r="L483">
            <v>30810076213805</v>
          </cell>
          <cell r="M483">
            <v>1</v>
          </cell>
          <cell r="N483">
            <v>6</v>
          </cell>
          <cell r="O483">
            <v>19.989999999999998</v>
          </cell>
          <cell r="P483">
            <v>9.9949999999999992</v>
          </cell>
        </row>
        <row r="484">
          <cell r="F484" t="str">
            <v>LL-20-3209</v>
          </cell>
          <cell r="G484" t="str">
            <v>FlowArt: Mini, 3Pck #2 [Pocket P + Café + Furry F] - ECOMM</v>
          </cell>
          <cell r="H484" t="str">
            <v>Y</v>
          </cell>
          <cell r="I484" t="str">
            <v>381</v>
          </cell>
          <cell r="J484">
            <v>810076213811</v>
          </cell>
          <cell r="K484">
            <v>50810076213816</v>
          </cell>
          <cell r="L484">
            <v>30810076213812</v>
          </cell>
          <cell r="M484">
            <v>1</v>
          </cell>
          <cell r="N484">
            <v>6</v>
          </cell>
          <cell r="O484">
            <v>19.989999999999998</v>
          </cell>
          <cell r="P484">
            <v>9.9949999999999992</v>
          </cell>
        </row>
        <row r="485">
          <cell r="F485" t="str">
            <v>LL-20-3301</v>
          </cell>
          <cell r="G485" t="str">
            <v>FlowArt: Mini, 3Pck #3 [Calm + Garden + Places] - ECOMM</v>
          </cell>
          <cell r="H485" t="str">
            <v>Y</v>
          </cell>
          <cell r="I485" t="str">
            <v>488</v>
          </cell>
          <cell r="J485">
            <v>810076214887</v>
          </cell>
          <cell r="K485">
            <v>50810076214882</v>
          </cell>
          <cell r="L485">
            <v>30810076214888</v>
          </cell>
          <cell r="M485">
            <v>1</v>
          </cell>
          <cell r="N485">
            <v>6</v>
          </cell>
          <cell r="O485">
            <v>19.989999999999998</v>
          </cell>
          <cell r="P485">
            <v>9.9949999999999992</v>
          </cell>
        </row>
        <row r="486">
          <cell r="F486" t="str">
            <v>LL-20-3302</v>
          </cell>
          <cell r="G486" t="str">
            <v>FlowArt: Mini, 3Pck #4 [Wild + Plant + Serenity] - ECOMM</v>
          </cell>
          <cell r="H486" t="str">
            <v>Y</v>
          </cell>
          <cell r="I486" t="str">
            <v>489</v>
          </cell>
          <cell r="J486">
            <v>810076214894</v>
          </cell>
          <cell r="K486">
            <v>50810076214899</v>
          </cell>
          <cell r="L486">
            <v>30810076214895</v>
          </cell>
          <cell r="M486">
            <v>1</v>
          </cell>
          <cell r="N486">
            <v>6</v>
          </cell>
          <cell r="O486">
            <v>19.989999999999998</v>
          </cell>
          <cell r="P486">
            <v>9.9949999999999992</v>
          </cell>
        </row>
        <row r="487">
          <cell r="F487" t="str">
            <v>LL-98-3621</v>
          </cell>
          <cell r="G487" t="str">
            <v>FlowArt: Mini, 3Pck #5 [Sweet Treats &amp; Dessert Shop] - ECOMM</v>
          </cell>
          <cell r="H487" t="str">
            <v>N</v>
          </cell>
          <cell r="I487" t="str">
            <v/>
          </cell>
          <cell r="M487">
            <v>1</v>
          </cell>
          <cell r="N487">
            <v>6</v>
          </cell>
          <cell r="O487">
            <v>19.989999999999998</v>
          </cell>
          <cell r="P487">
            <v>9.9949999999999992</v>
          </cell>
        </row>
        <row r="488">
          <cell r="F488" t="str">
            <v>LL-98-3622</v>
          </cell>
          <cell r="G488" t="str">
            <v>FlowArt: Mini, 3Pck #6 [Animals] - ECOMM</v>
          </cell>
          <cell r="H488" t="str">
            <v>N</v>
          </cell>
          <cell r="I488" t="str">
            <v/>
          </cell>
          <cell r="M488">
            <v>1</v>
          </cell>
          <cell r="N488">
            <v>6</v>
          </cell>
          <cell r="O488">
            <v>19.989999999999998</v>
          </cell>
          <cell r="P488">
            <v>9.9949999999999992</v>
          </cell>
        </row>
        <row r="489">
          <cell r="F489" t="str">
            <v>LL-20-3491</v>
          </cell>
          <cell r="G489" t="str">
            <v>FlowArt Mini Cross-Stitch-by-Number: [Botanical + Birds + Spring] - ECOMM</v>
          </cell>
          <cell r="H489" t="str">
            <v>Y</v>
          </cell>
          <cell r="I489" t="str">
            <v>674</v>
          </cell>
          <cell r="J489">
            <v>810076216744</v>
          </cell>
          <cell r="K489">
            <v>50810076216749</v>
          </cell>
          <cell r="L489">
            <v>30810076216745</v>
          </cell>
          <cell r="M489">
            <v>6</v>
          </cell>
          <cell r="N489">
            <v>24</v>
          </cell>
          <cell r="O489">
            <v>19.989999999999998</v>
          </cell>
          <cell r="P489">
            <v>9.9949999999999992</v>
          </cell>
        </row>
        <row r="490">
          <cell r="F490" t="str">
            <v>LL-20-3303</v>
          </cell>
          <cell r="G490" t="str">
            <v>FlowArt: Mini, Holiday 3Pck #1 - ECOMM</v>
          </cell>
          <cell r="H490" t="str">
            <v>Y</v>
          </cell>
          <cell r="I490" t="str">
            <v>490</v>
          </cell>
          <cell r="J490">
            <v>810076214900</v>
          </cell>
          <cell r="K490">
            <v>50810076214905</v>
          </cell>
          <cell r="L490">
            <v>30810076214901</v>
          </cell>
          <cell r="M490">
            <v>1</v>
          </cell>
          <cell r="N490">
            <v>6</v>
          </cell>
          <cell r="O490">
            <v>19.989999999999998</v>
          </cell>
          <cell r="P490">
            <v>9.9949999999999992</v>
          </cell>
        </row>
        <row r="491">
          <cell r="F491" t="str">
            <v>LL-98-3560</v>
          </cell>
          <cell r="G491" t="str">
            <v>FlowArt: Mini, Fall Trace-By-Line ECOMM 3Pck</v>
          </cell>
          <cell r="H491" t="str">
            <v>N</v>
          </cell>
          <cell r="I491" t="str">
            <v/>
          </cell>
          <cell r="O491">
            <v>29.99</v>
          </cell>
          <cell r="P491">
            <v>14.994999999999999</v>
          </cell>
        </row>
        <row r="492">
          <cell r="F492" t="str">
            <v>LL-98-3536</v>
          </cell>
          <cell r="G492" t="str">
            <v>FlowArt: Mini, Dot-By-Letter [Neon] ECOMM 3Pck</v>
          </cell>
          <cell r="H492" t="str">
            <v>N</v>
          </cell>
          <cell r="I492" t="str">
            <v/>
          </cell>
          <cell r="O492">
            <v>22.99</v>
          </cell>
          <cell r="P492">
            <v>11.494999999999999</v>
          </cell>
        </row>
        <row r="493">
          <cell r="F493" t="str">
            <v>LL-98-3566</v>
          </cell>
          <cell r="G493" t="str">
            <v>FlowArt: Mini, Halloween Dot-By-Letter ECOMM 3Pck</v>
          </cell>
          <cell r="H493" t="str">
            <v>N</v>
          </cell>
          <cell r="I493" t="str">
            <v/>
          </cell>
          <cell r="O493">
            <v>29.99</v>
          </cell>
          <cell r="P493">
            <v>14.994999999999999</v>
          </cell>
        </row>
        <row r="494">
          <cell r="F494" t="str">
            <v>LL-98-3585</v>
          </cell>
          <cell r="G494" t="str">
            <v>FlowArt: Mini, Holiday Cross-Stitch ECOMM 3Pck</v>
          </cell>
          <cell r="H494" t="str">
            <v>N</v>
          </cell>
          <cell r="I494" t="str">
            <v/>
          </cell>
          <cell r="J494"/>
          <cell r="K494"/>
          <cell r="L494"/>
          <cell r="M494"/>
          <cell r="N494"/>
          <cell r="O494">
            <v>29.99</v>
          </cell>
          <cell r="P494">
            <v>14.994999999999999</v>
          </cell>
        </row>
        <row r="495">
          <cell r="F495" t="str">
            <v>LL-98-3444</v>
          </cell>
          <cell r="G495" t="str">
            <v>FlowArt Mini - Pocket Positivity - 3Pck</v>
          </cell>
          <cell r="H495" t="str">
            <v>N</v>
          </cell>
          <cell r="I495" t="str">
            <v>642</v>
          </cell>
          <cell r="J495">
            <v>810076216423</v>
          </cell>
          <cell r="K495">
            <v>50810076216428</v>
          </cell>
          <cell r="L495">
            <v>30810076216424</v>
          </cell>
          <cell r="M495"/>
          <cell r="N495"/>
          <cell r="O495">
            <v>22.99</v>
          </cell>
          <cell r="P495">
            <v>11.494999999999999</v>
          </cell>
        </row>
        <row r="496">
          <cell r="F496" t="str">
            <v>LL-98-3445</v>
          </cell>
          <cell r="G496" t="str">
            <v>FlowArt Mini - Café Comforts - 3Pck</v>
          </cell>
          <cell r="H496" t="str">
            <v>N</v>
          </cell>
          <cell r="I496" t="str">
            <v>643</v>
          </cell>
          <cell r="J496">
            <v>810076216430</v>
          </cell>
          <cell r="K496">
            <v>50810076216435</v>
          </cell>
          <cell r="L496">
            <v>30810076216431</v>
          </cell>
          <cell r="M496"/>
          <cell r="N496"/>
          <cell r="O496">
            <v>22.99</v>
          </cell>
          <cell r="P496">
            <v>11.494999999999999</v>
          </cell>
        </row>
        <row r="497">
          <cell r="F497" t="str">
            <v>LL-98-3446</v>
          </cell>
          <cell r="G497" t="str">
            <v>FlowArt Mini - Enchanted Magic - 3Pck</v>
          </cell>
          <cell r="H497" t="str">
            <v>N</v>
          </cell>
          <cell r="I497" t="str">
            <v>644</v>
          </cell>
          <cell r="J497">
            <v>810076216447</v>
          </cell>
          <cell r="K497">
            <v>50810076216442</v>
          </cell>
          <cell r="L497">
            <v>30810076216448</v>
          </cell>
          <cell r="M497"/>
          <cell r="N497"/>
          <cell r="O497">
            <v>22.99</v>
          </cell>
          <cell r="P497">
            <v>11.494999999999999</v>
          </cell>
        </row>
        <row r="498">
          <cell r="F498" t="str">
            <v>LL-30-3324</v>
          </cell>
          <cell r="G498" t="str">
            <v>FlowArt Mini EXPRESS, #1 Paws and Purs</v>
          </cell>
          <cell r="H498" t="str">
            <v>Y</v>
          </cell>
          <cell r="I498" t="str">
            <v>512</v>
          </cell>
          <cell r="J498">
            <v>810076215129</v>
          </cell>
          <cell r="K498">
            <v>50810076215124</v>
          </cell>
          <cell r="L498">
            <v>30810076215120</v>
          </cell>
          <cell r="M498">
            <v>6</v>
          </cell>
          <cell r="N498">
            <v>24</v>
          </cell>
          <cell r="O498">
            <v>4.99</v>
          </cell>
          <cell r="P498">
            <v>2.4950000000000001</v>
          </cell>
        </row>
        <row r="499">
          <cell r="F499" t="str">
            <v>LL-30-3325</v>
          </cell>
          <cell r="G499" t="str">
            <v>FlowArt Mini EXPRESS, #2 In Full Bloom</v>
          </cell>
          <cell r="H499" t="str">
            <v>Y</v>
          </cell>
          <cell r="I499" t="str">
            <v>513</v>
          </cell>
          <cell r="J499">
            <v>810076215136</v>
          </cell>
          <cell r="K499">
            <v>50810076215131</v>
          </cell>
          <cell r="L499">
            <v>30810076215137</v>
          </cell>
          <cell r="M499">
            <v>6</v>
          </cell>
          <cell r="N499">
            <v>24</v>
          </cell>
          <cell r="O499">
            <v>4.99</v>
          </cell>
          <cell r="P499">
            <v>2.4950000000000001</v>
          </cell>
        </row>
        <row r="500">
          <cell r="F500" t="str">
            <v>LL-30-3326</v>
          </cell>
          <cell r="G500" t="str">
            <v>FlowArt Mini EXPRESS, #3 Nature Walk</v>
          </cell>
          <cell r="H500" t="str">
            <v>Y</v>
          </cell>
          <cell r="I500" t="str">
            <v>514</v>
          </cell>
          <cell r="J500">
            <v>810076215143</v>
          </cell>
          <cell r="K500">
            <v>50810076215148</v>
          </cell>
          <cell r="L500">
            <v>30810076215144</v>
          </cell>
          <cell r="M500">
            <v>6</v>
          </cell>
          <cell r="N500">
            <v>24</v>
          </cell>
          <cell r="O500">
            <v>4.99</v>
          </cell>
          <cell r="P500">
            <v>2.4950000000000001</v>
          </cell>
        </row>
        <row r="501">
          <cell r="F501" t="str">
            <v>LL-30-3327</v>
          </cell>
          <cell r="G501" t="str">
            <v>FlowArt Mini EXPRESS, #4 Cozy comforts</v>
          </cell>
          <cell r="H501" t="str">
            <v>Y</v>
          </cell>
          <cell r="I501" t="str">
            <v>515</v>
          </cell>
          <cell r="J501">
            <v>810076215150</v>
          </cell>
          <cell r="K501">
            <v>50810076215155</v>
          </cell>
          <cell r="L501">
            <v>30810076215151</v>
          </cell>
          <cell r="M501">
            <v>6</v>
          </cell>
          <cell r="N501">
            <v>24</v>
          </cell>
          <cell r="O501">
            <v>4.99</v>
          </cell>
          <cell r="P501">
            <v>2.4950000000000001</v>
          </cell>
        </row>
        <row r="502">
          <cell r="F502" t="str">
            <v>LL-30-3328</v>
          </cell>
          <cell r="G502" t="str">
            <v>FlowArt Mini EXPRESS, #5 Snow day</v>
          </cell>
          <cell r="H502" t="str">
            <v>Y</v>
          </cell>
          <cell r="I502" t="str">
            <v>516</v>
          </cell>
          <cell r="J502">
            <v>810076215167</v>
          </cell>
          <cell r="K502">
            <v>50810076215162</v>
          </cell>
          <cell r="L502">
            <v>30810076215168</v>
          </cell>
          <cell r="M502">
            <v>6</v>
          </cell>
          <cell r="N502">
            <v>24</v>
          </cell>
          <cell r="O502">
            <v>4.99</v>
          </cell>
          <cell r="P502">
            <v>2.4950000000000001</v>
          </cell>
        </row>
        <row r="503">
          <cell r="F503" t="str">
            <v>LL-30-3333</v>
          </cell>
          <cell r="G503" t="str">
            <v>FlowArt Mini EXPRESS, #6 Merry Moments</v>
          </cell>
          <cell r="H503" t="str">
            <v>Y</v>
          </cell>
          <cell r="I503" t="str">
            <v>538</v>
          </cell>
          <cell r="J503">
            <v>810076215389</v>
          </cell>
          <cell r="K503">
            <v>50810076215384</v>
          </cell>
          <cell r="L503">
            <v>30810076215380</v>
          </cell>
          <cell r="M503">
            <v>6</v>
          </cell>
          <cell r="N503">
            <v>24</v>
          </cell>
          <cell r="O503">
            <v>4.99</v>
          </cell>
          <cell r="P503">
            <v>2.4950000000000001</v>
          </cell>
        </row>
        <row r="504">
          <cell r="F504" t="str">
            <v>LL-30-3354</v>
          </cell>
          <cell r="G504" t="str">
            <v>FlowArt Mini EXPRESS, #7 Wings &amp; Wonder</v>
          </cell>
          <cell r="H504" t="str">
            <v>Y</v>
          </cell>
          <cell r="I504" t="str">
            <v>548</v>
          </cell>
          <cell r="J504">
            <v>810076215488</v>
          </cell>
          <cell r="K504">
            <v>50810076215483</v>
          </cell>
          <cell r="L504">
            <v>30810076215489</v>
          </cell>
          <cell r="M504">
            <v>6</v>
          </cell>
          <cell r="N504">
            <v>24</v>
          </cell>
          <cell r="O504">
            <v>4.99</v>
          </cell>
          <cell r="P504">
            <v>2.4950000000000001</v>
          </cell>
        </row>
        <row r="505">
          <cell r="F505" t="str">
            <v>LL-30-3355</v>
          </cell>
          <cell r="G505" t="str">
            <v>FlowArt Mini EXPRESS, #8 On the Farm</v>
          </cell>
          <cell r="H505" t="str">
            <v>Y</v>
          </cell>
          <cell r="I505" t="str">
            <v>549</v>
          </cell>
          <cell r="J505">
            <v>810076215495</v>
          </cell>
          <cell r="K505">
            <v>50810076215490</v>
          </cell>
          <cell r="L505">
            <v>30810076215496</v>
          </cell>
          <cell r="M505">
            <v>6</v>
          </cell>
          <cell r="N505">
            <v>24</v>
          </cell>
          <cell r="O505">
            <v>4.99</v>
          </cell>
          <cell r="P505">
            <v>2.4950000000000001</v>
          </cell>
        </row>
        <row r="506">
          <cell r="F506" t="str">
            <v>LL-30-3356</v>
          </cell>
          <cell r="G506" t="str">
            <v>FlowArt Mini EXPRESS, #9 Hometown Charm</v>
          </cell>
          <cell r="H506" t="str">
            <v>Y</v>
          </cell>
          <cell r="I506" t="str">
            <v>550</v>
          </cell>
          <cell r="J506">
            <v>810076215501</v>
          </cell>
          <cell r="K506">
            <v>50810076215506</v>
          </cell>
          <cell r="L506">
            <v>30810076215502</v>
          </cell>
          <cell r="M506">
            <v>6</v>
          </cell>
          <cell r="N506">
            <v>24</v>
          </cell>
          <cell r="O506">
            <v>4.99</v>
          </cell>
          <cell r="P506">
            <v>2.4950000000000001</v>
          </cell>
        </row>
        <row r="507">
          <cell r="F507" t="str">
            <v>LL-30-3357</v>
          </cell>
          <cell r="G507" t="str">
            <v>FlowArt Mini EXPRESS, #10</v>
          </cell>
          <cell r="H507" t="str">
            <v>Y</v>
          </cell>
          <cell r="I507" t="str">
            <v>551</v>
          </cell>
          <cell r="J507">
            <v>810076215518</v>
          </cell>
          <cell r="K507">
            <v>50810076215513</v>
          </cell>
          <cell r="L507">
            <v>30810076215519</v>
          </cell>
          <cell r="M507">
            <v>6</v>
          </cell>
          <cell r="N507">
            <v>24</v>
          </cell>
          <cell r="O507">
            <v>4.99</v>
          </cell>
          <cell r="P507">
            <v>2.4950000000000001</v>
          </cell>
        </row>
        <row r="508">
          <cell r="F508" t="str">
            <v>LL-30-3358</v>
          </cell>
          <cell r="G508" t="str">
            <v>FlowArt Mini EXPRESS, #11</v>
          </cell>
          <cell r="H508" t="str">
            <v>Y</v>
          </cell>
          <cell r="I508" t="str">
            <v>552</v>
          </cell>
          <cell r="J508">
            <v>810076215525</v>
          </cell>
          <cell r="K508">
            <v>50810076215520</v>
          </cell>
          <cell r="L508">
            <v>30810076215526</v>
          </cell>
          <cell r="M508">
            <v>6</v>
          </cell>
          <cell r="N508">
            <v>24</v>
          </cell>
          <cell r="O508">
            <v>4.99</v>
          </cell>
          <cell r="P508">
            <v>2.4950000000000001</v>
          </cell>
        </row>
        <row r="509">
          <cell r="F509" t="str">
            <v>LL-30-3359</v>
          </cell>
          <cell r="G509" t="str">
            <v>FlowArt Mini EXPRESS, #12</v>
          </cell>
          <cell r="H509" t="str">
            <v>Y</v>
          </cell>
          <cell r="I509" t="str">
            <v>553</v>
          </cell>
          <cell r="J509">
            <v>810076215532</v>
          </cell>
          <cell r="K509">
            <v>50810076215537</v>
          </cell>
          <cell r="L509">
            <v>30810076215533</v>
          </cell>
          <cell r="M509">
            <v>6</v>
          </cell>
          <cell r="N509">
            <v>24</v>
          </cell>
          <cell r="O509">
            <v>4.99</v>
          </cell>
          <cell r="P509">
            <v>2.4950000000000001</v>
          </cell>
        </row>
        <row r="510">
          <cell r="F510" t="str">
            <v>LL-30-3360</v>
          </cell>
          <cell r="G510" t="str">
            <v>FlowArt Mini EXPRESS, #13</v>
          </cell>
          <cell r="H510" t="str">
            <v>Y</v>
          </cell>
          <cell r="I510" t="str">
            <v>554</v>
          </cell>
          <cell r="J510">
            <v>810076215549</v>
          </cell>
          <cell r="K510">
            <v>50810076215544</v>
          </cell>
          <cell r="L510">
            <v>30810076215540</v>
          </cell>
          <cell r="M510">
            <v>6</v>
          </cell>
          <cell r="N510">
            <v>24</v>
          </cell>
          <cell r="O510">
            <v>4.99</v>
          </cell>
          <cell r="P510">
            <v>2.4950000000000001</v>
          </cell>
        </row>
        <row r="511">
          <cell r="F511" t="str">
            <v>LL-30-3361</v>
          </cell>
          <cell r="G511" t="str">
            <v>FlowArt Mini EXPRESS, #14</v>
          </cell>
          <cell r="H511" t="str">
            <v>Y</v>
          </cell>
          <cell r="I511" t="str">
            <v>555</v>
          </cell>
          <cell r="J511">
            <v>810076215556</v>
          </cell>
          <cell r="K511">
            <v>50810076215551</v>
          </cell>
          <cell r="L511">
            <v>30810076215557</v>
          </cell>
          <cell r="M511">
            <v>6</v>
          </cell>
          <cell r="N511">
            <v>24</v>
          </cell>
          <cell r="O511">
            <v>4.99</v>
          </cell>
          <cell r="P511">
            <v>2.4950000000000001</v>
          </cell>
        </row>
        <row r="512">
          <cell r="F512" t="str">
            <v>LL-30-3362</v>
          </cell>
          <cell r="G512" t="str">
            <v>FlowArt Mini EXPRESS, #15</v>
          </cell>
          <cell r="H512" t="str">
            <v>Y</v>
          </cell>
          <cell r="I512" t="str">
            <v>556</v>
          </cell>
          <cell r="J512">
            <v>810076215563</v>
          </cell>
          <cell r="K512">
            <v>50810076215568</v>
          </cell>
          <cell r="L512">
            <v>30810076215564</v>
          </cell>
          <cell r="M512">
            <v>6</v>
          </cell>
          <cell r="N512">
            <v>24</v>
          </cell>
          <cell r="O512">
            <v>4.99</v>
          </cell>
          <cell r="P512">
            <v>2.4950000000000001</v>
          </cell>
        </row>
        <row r="513">
          <cell r="F513" t="str">
            <v>LL-30-3405</v>
          </cell>
          <cell r="G513" t="str">
            <v>FlowArt Mini EXPRESS, Sweet Escapes</v>
          </cell>
          <cell r="H513" t="str">
            <v>Y</v>
          </cell>
          <cell r="I513" t="str">
            <v>599</v>
          </cell>
          <cell r="J513">
            <v>810076215990</v>
          </cell>
          <cell r="K513">
            <v>50810076215995</v>
          </cell>
          <cell r="L513">
            <v>30810076215991</v>
          </cell>
          <cell r="M513">
            <v>6</v>
          </cell>
          <cell r="N513">
            <v>24</v>
          </cell>
          <cell r="O513">
            <v>4.99</v>
          </cell>
          <cell r="P513">
            <v>2.4950000000000001</v>
          </cell>
        </row>
        <row r="514">
          <cell r="F514" t="str">
            <v>LL-30-3406</v>
          </cell>
          <cell r="G514" t="str">
            <v>FlowArt Mini EXPRESS, Pretty Petals</v>
          </cell>
          <cell r="H514" t="str">
            <v>Y</v>
          </cell>
          <cell r="I514" t="str">
            <v>600</v>
          </cell>
          <cell r="J514">
            <v>810076216003</v>
          </cell>
          <cell r="K514">
            <v>50810076216008</v>
          </cell>
          <cell r="L514">
            <v>30810076216004</v>
          </cell>
          <cell r="M514">
            <v>6</v>
          </cell>
          <cell r="N514">
            <v>24</v>
          </cell>
          <cell r="O514">
            <v>4.99</v>
          </cell>
          <cell r="P514">
            <v>2.4950000000000001</v>
          </cell>
        </row>
        <row r="515">
          <cell r="F515" t="str">
            <v>LL-30-3425</v>
          </cell>
          <cell r="G515" t="str">
            <v>FlowArt Mini EXPRESS, Tween Collection - Dream Spaces</v>
          </cell>
          <cell r="H515" t="str">
            <v>Y</v>
          </cell>
          <cell r="I515" t="str">
            <v>620</v>
          </cell>
          <cell r="J515">
            <v>810076216201</v>
          </cell>
          <cell r="K515">
            <v>50810076216206</v>
          </cell>
          <cell r="L515">
            <v>30810076216202</v>
          </cell>
          <cell r="M515">
            <v>6</v>
          </cell>
          <cell r="N515">
            <v>24</v>
          </cell>
          <cell r="O515">
            <v>4.99</v>
          </cell>
          <cell r="P515">
            <v>2.4950000000000001</v>
          </cell>
        </row>
        <row r="516">
          <cell r="F516" t="str">
            <v>LL-30-3426</v>
          </cell>
          <cell r="G516" t="str">
            <v>FlowArt Mini EXPRESS, Tween Collection - Vacay Mode</v>
          </cell>
          <cell r="H516" t="str">
            <v>Y</v>
          </cell>
          <cell r="I516" t="str">
            <v>621</v>
          </cell>
          <cell r="J516">
            <v>810076216218</v>
          </cell>
          <cell r="K516">
            <v>50810076216213</v>
          </cell>
          <cell r="L516">
            <v>30810076216219</v>
          </cell>
          <cell r="M516">
            <v>6</v>
          </cell>
          <cell r="N516">
            <v>24</v>
          </cell>
          <cell r="O516">
            <v>4.99</v>
          </cell>
          <cell r="P516">
            <v>2.4950000000000001</v>
          </cell>
        </row>
        <row r="517">
          <cell r="F517" t="str">
            <v>LL-30-3427</v>
          </cell>
          <cell r="G517" t="str">
            <v>FlowArt Mini EXPRESS, Tween Collection - The Style Edit</v>
          </cell>
          <cell r="H517" t="str">
            <v>Y</v>
          </cell>
          <cell r="I517" t="str">
            <v>622</v>
          </cell>
          <cell r="J517">
            <v>810076216225</v>
          </cell>
          <cell r="K517">
            <v>50810076216220</v>
          </cell>
          <cell r="L517">
            <v>30810076216226</v>
          </cell>
          <cell r="M517">
            <v>6</v>
          </cell>
          <cell r="N517">
            <v>24</v>
          </cell>
          <cell r="O517">
            <v>4.99</v>
          </cell>
          <cell r="P517">
            <v>2.4950000000000001</v>
          </cell>
        </row>
        <row r="518">
          <cell r="F518" t="str">
            <v>LL-30-3428</v>
          </cell>
          <cell r="G518" t="str">
            <v>FlowArt Mini EXPRESS, Tween Collection - Berry Cute</v>
          </cell>
          <cell r="H518" t="str">
            <v>Y</v>
          </cell>
          <cell r="I518" t="str">
            <v>623</v>
          </cell>
          <cell r="J518">
            <v>810076216232</v>
          </cell>
          <cell r="K518">
            <v>50810076216237</v>
          </cell>
          <cell r="L518">
            <v>30810076216233</v>
          </cell>
          <cell r="M518">
            <v>6</v>
          </cell>
          <cell r="N518">
            <v>24</v>
          </cell>
          <cell r="O518">
            <v>4.99</v>
          </cell>
          <cell r="P518">
            <v>2.4950000000000001</v>
          </cell>
        </row>
        <row r="519">
          <cell r="F519" t="str">
            <v>LL-30-3456</v>
          </cell>
          <cell r="G519" t="str">
            <v>FlowArt Mini EXPRESS, Cross-Stitch-by-Number: Bloom by Bloom</v>
          </cell>
          <cell r="H519" t="str">
            <v>Y</v>
          </cell>
          <cell r="I519" t="str">
            <v>655</v>
          </cell>
          <cell r="J519">
            <v>810076216553</v>
          </cell>
          <cell r="K519">
            <v>50810076216558</v>
          </cell>
          <cell r="L519">
            <v>30810076216554</v>
          </cell>
          <cell r="M519">
            <v>6</v>
          </cell>
          <cell r="N519">
            <v>24</v>
          </cell>
          <cell r="O519">
            <v>4.99</v>
          </cell>
          <cell r="P519">
            <v>2.4950000000000001</v>
          </cell>
        </row>
        <row r="520">
          <cell r="F520" t="str">
            <v>LL-30-3457</v>
          </cell>
          <cell r="G520" t="str">
            <v>FlowArt Mini EXPRESS, Cross-Stitch-by-Number: Heart &amp; Home</v>
          </cell>
          <cell r="H520" t="str">
            <v>Y</v>
          </cell>
          <cell r="I520" t="str">
            <v>656</v>
          </cell>
          <cell r="J520">
            <v>810076216560</v>
          </cell>
          <cell r="K520">
            <v>50810076216565</v>
          </cell>
          <cell r="L520">
            <v>30810076216561</v>
          </cell>
          <cell r="M520">
            <v>6</v>
          </cell>
          <cell r="N520">
            <v>24</v>
          </cell>
          <cell r="O520">
            <v>4.99</v>
          </cell>
          <cell r="P520">
            <v>2.4950000000000001</v>
          </cell>
        </row>
        <row r="521">
          <cell r="F521" t="str">
            <v>LL-30-3458</v>
          </cell>
          <cell r="G521" t="str">
            <v>FlowArt Mini EXPRESS, Cross-Stitch-by-Number: The Cozy Life</v>
          </cell>
          <cell r="H521" t="str">
            <v>Y</v>
          </cell>
          <cell r="I521" t="str">
            <v>657</v>
          </cell>
          <cell r="J521">
            <v>810076216577</v>
          </cell>
          <cell r="K521">
            <v>50810076216572</v>
          </cell>
          <cell r="L521">
            <v>30810076216578</v>
          </cell>
          <cell r="M521">
            <v>6</v>
          </cell>
          <cell r="N521">
            <v>24</v>
          </cell>
          <cell r="O521">
            <v>4.99</v>
          </cell>
          <cell r="P521">
            <v>2.4950000000000001</v>
          </cell>
        </row>
        <row r="522">
          <cell r="F522" t="str">
            <v>LL-30-3459</v>
          </cell>
          <cell r="G522" t="str">
            <v>FlowArt Mini EXPRESS, Cross-Stitch-by-Number: Garden Friends</v>
          </cell>
          <cell r="H522" t="str">
            <v>Y</v>
          </cell>
          <cell r="I522" t="str">
            <v>658</v>
          </cell>
          <cell r="J522">
            <v>810076216584</v>
          </cell>
          <cell r="K522">
            <v>50810076216589</v>
          </cell>
          <cell r="L522">
            <v>30810076216585</v>
          </cell>
          <cell r="M522">
            <v>6</v>
          </cell>
          <cell r="N522">
            <v>24</v>
          </cell>
          <cell r="O522">
            <v>4.99</v>
          </cell>
          <cell r="P522">
            <v>2.4950000000000001</v>
          </cell>
        </row>
        <row r="523">
          <cell r="F523" t="str">
            <v>LL-30-3460</v>
          </cell>
          <cell r="G523" t="str">
            <v>FlowArt Mini EXPRESS, Spring Showers</v>
          </cell>
          <cell r="H523" t="str">
            <v>Y</v>
          </cell>
          <cell r="I523" t="str">
            <v>659</v>
          </cell>
          <cell r="J523">
            <v>810076216591</v>
          </cell>
          <cell r="K523">
            <v>50810076216596</v>
          </cell>
          <cell r="L523">
            <v>30810076216592</v>
          </cell>
          <cell r="M523">
            <v>6</v>
          </cell>
          <cell r="N523">
            <v>24</v>
          </cell>
          <cell r="O523">
            <v>4.99</v>
          </cell>
          <cell r="P523">
            <v>2.4950000000000001</v>
          </cell>
        </row>
        <row r="524">
          <cell r="F524" t="str">
            <v>LL-30-3461</v>
          </cell>
          <cell r="G524" t="str">
            <v>FlowArt Mini EXPRESS, Flower Market</v>
          </cell>
          <cell r="H524" t="str">
            <v>Y</v>
          </cell>
          <cell r="I524" t="str">
            <v>660</v>
          </cell>
          <cell r="J524">
            <v>810076216607</v>
          </cell>
          <cell r="K524">
            <v>50810076216602</v>
          </cell>
          <cell r="L524">
            <v>30810076216608</v>
          </cell>
          <cell r="M524">
            <v>6</v>
          </cell>
          <cell r="N524">
            <v>24</v>
          </cell>
          <cell r="O524">
            <v>4.99</v>
          </cell>
          <cell r="P524">
            <v>2.4950000000000001</v>
          </cell>
        </row>
        <row r="525">
          <cell r="F525" t="str">
            <v>LL-30-3462</v>
          </cell>
          <cell r="G525" t="str">
            <v>FlowArt Mini EXPRESS, Tiny Tails</v>
          </cell>
          <cell r="H525" t="str">
            <v>Y</v>
          </cell>
          <cell r="I525" t="str">
            <v>661</v>
          </cell>
          <cell r="J525">
            <v>810076216614</v>
          </cell>
          <cell r="K525">
            <v>50810076216619</v>
          </cell>
          <cell r="L525">
            <v>30810076216615</v>
          </cell>
          <cell r="M525">
            <v>6</v>
          </cell>
          <cell r="N525">
            <v>24</v>
          </cell>
          <cell r="O525">
            <v>4.99</v>
          </cell>
          <cell r="P525">
            <v>2.4950000000000001</v>
          </cell>
        </row>
        <row r="526">
          <cell r="F526" t="str">
            <v>LL-30-3538</v>
          </cell>
          <cell r="G526" t="str">
            <v>FlowArt Mini EXPRESS: Trace-by-Line, Pet Party</v>
          </cell>
          <cell r="H526" t="str">
            <v>Y</v>
          </cell>
          <cell r="I526" t="str">
            <v>743</v>
          </cell>
          <cell r="J526">
            <v>810076217437</v>
          </cell>
          <cell r="K526">
            <v>50810076217432</v>
          </cell>
          <cell r="L526">
            <v>30810076217438</v>
          </cell>
          <cell r="M526">
            <v>6</v>
          </cell>
          <cell r="N526">
            <v>24</v>
          </cell>
          <cell r="O526">
            <v>4.99</v>
          </cell>
          <cell r="P526">
            <v>2.4950000000000001</v>
          </cell>
        </row>
        <row r="527">
          <cell r="F527" t="str">
            <v>LL-30-3539</v>
          </cell>
          <cell r="G527" t="str">
            <v>FlowArt Mini EXPRESS: Trace-by-Line, Chasing Sunshine</v>
          </cell>
          <cell r="H527" t="str">
            <v>Y</v>
          </cell>
          <cell r="I527" t="str">
            <v>744</v>
          </cell>
          <cell r="J527">
            <v>810076217444</v>
          </cell>
          <cell r="K527">
            <v>50810076217449</v>
          </cell>
          <cell r="L527">
            <v>30810076217445</v>
          </cell>
          <cell r="M527">
            <v>6</v>
          </cell>
          <cell r="N527">
            <v>24</v>
          </cell>
          <cell r="O527">
            <v>4.99</v>
          </cell>
          <cell r="P527">
            <v>2.4950000000000001</v>
          </cell>
        </row>
        <row r="528">
          <cell r="F528" t="str">
            <v>LL-30-3540</v>
          </cell>
          <cell r="G528" t="str">
            <v>FlowArt Mini EXPRESS: Trace-by-Line, Coral Crush</v>
          </cell>
          <cell r="H528" t="str">
            <v>Y</v>
          </cell>
          <cell r="I528" t="str">
            <v>745</v>
          </cell>
          <cell r="J528">
            <v>810076217451</v>
          </cell>
          <cell r="K528">
            <v>50810076217456</v>
          </cell>
          <cell r="L528">
            <v>30810076217452</v>
          </cell>
          <cell r="M528">
            <v>6</v>
          </cell>
          <cell r="N528">
            <v>24</v>
          </cell>
          <cell r="O528">
            <v>4.99</v>
          </cell>
          <cell r="P528">
            <v>2.4950000000000001</v>
          </cell>
        </row>
        <row r="529">
          <cell r="F529" t="str">
            <v>LL-30-3567</v>
          </cell>
          <cell r="G529" t="str">
            <v>FlowArt Mini EXPRESS: Fall Dot-By-Letter #1</v>
          </cell>
          <cell r="H529" t="str">
            <v>N</v>
          </cell>
          <cell r="I529" t="str">
            <v/>
          </cell>
          <cell r="M529">
            <v>6</v>
          </cell>
          <cell r="N529">
            <v>24</v>
          </cell>
          <cell r="O529">
            <v>4.99</v>
          </cell>
          <cell r="P529">
            <v>2.4950000000000001</v>
          </cell>
        </row>
        <row r="530">
          <cell r="F530" t="str">
            <v>LL-30-3568</v>
          </cell>
          <cell r="G530" t="str">
            <v>FlowArt Mini EXPRESS: Fall Dot-By-Letter #2</v>
          </cell>
          <cell r="H530" t="str">
            <v>N</v>
          </cell>
          <cell r="I530" t="str">
            <v/>
          </cell>
          <cell r="M530">
            <v>6</v>
          </cell>
          <cell r="N530">
            <v>24</v>
          </cell>
          <cell r="O530">
            <v>4.99</v>
          </cell>
          <cell r="P530">
            <v>2.4950000000000001</v>
          </cell>
        </row>
        <row r="531">
          <cell r="F531" t="str">
            <v>LL-30-3569</v>
          </cell>
          <cell r="G531" t="str">
            <v>FlowArt Mini EXPRESS: Fall Dot-By-Letter #3</v>
          </cell>
          <cell r="H531" t="str">
            <v>N</v>
          </cell>
          <cell r="I531" t="str">
            <v/>
          </cell>
          <cell r="M531">
            <v>6</v>
          </cell>
          <cell r="N531">
            <v>24</v>
          </cell>
          <cell r="O531">
            <v>4.99</v>
          </cell>
          <cell r="P531">
            <v>2.4950000000000001</v>
          </cell>
        </row>
        <row r="532">
          <cell r="F532" t="str">
            <v>LL-30-3570</v>
          </cell>
          <cell r="G532" t="str">
            <v>FlowArt Mini EXPRESS: Fall Trace-By-Line #4 - Retailer Exclusive A</v>
          </cell>
          <cell r="H532" t="str">
            <v>N</v>
          </cell>
          <cell r="I532" t="str">
            <v/>
          </cell>
          <cell r="J532"/>
          <cell r="K532"/>
          <cell r="L532"/>
          <cell r="M532">
            <v>6</v>
          </cell>
          <cell r="N532">
            <v>24</v>
          </cell>
          <cell r="O532">
            <v>4.99</v>
          </cell>
          <cell r="P532">
            <v>2.4950000000000001</v>
          </cell>
        </row>
        <row r="533">
          <cell r="F533" t="str">
            <v>LL-30-3571</v>
          </cell>
          <cell r="G533" t="str">
            <v>FlowArt Mini EXPRESS: Fall Trace-By-Line #5 - Retailer Exclusive B</v>
          </cell>
          <cell r="H533" t="str">
            <v>N</v>
          </cell>
          <cell r="I533" t="str">
            <v/>
          </cell>
          <cell r="J533"/>
          <cell r="K533"/>
          <cell r="L533"/>
          <cell r="M533">
            <v>6</v>
          </cell>
          <cell r="N533">
            <v>24</v>
          </cell>
          <cell r="O533">
            <v>4.99</v>
          </cell>
          <cell r="P533">
            <v>2.4950000000000001</v>
          </cell>
        </row>
        <row r="534">
          <cell r="F534" t="str">
            <v>LL-30-3587</v>
          </cell>
          <cell r="G534" t="str">
            <v>FlowArt Mini EXPRESS: Holiday Trace-By-Line #1</v>
          </cell>
          <cell r="H534" t="str">
            <v>N</v>
          </cell>
          <cell r="I534" t="str">
            <v/>
          </cell>
          <cell r="J534"/>
          <cell r="K534"/>
          <cell r="L534"/>
          <cell r="M534">
            <v>6</v>
          </cell>
          <cell r="N534">
            <v>24</v>
          </cell>
          <cell r="O534">
            <v>4.99</v>
          </cell>
          <cell r="P534">
            <v>2.4950000000000001</v>
          </cell>
        </row>
        <row r="535">
          <cell r="F535" t="str">
            <v>LL-30-3588</v>
          </cell>
          <cell r="G535" t="str">
            <v>FlowArt Mini EXPRESS: Holiday Trace-By-Line #2</v>
          </cell>
          <cell r="H535" t="str">
            <v>N</v>
          </cell>
          <cell r="I535" t="str">
            <v/>
          </cell>
          <cell r="J535"/>
          <cell r="K535"/>
          <cell r="L535"/>
          <cell r="M535">
            <v>6</v>
          </cell>
          <cell r="N535">
            <v>24</v>
          </cell>
          <cell r="O535">
            <v>4.99</v>
          </cell>
          <cell r="P535">
            <v>2.4950000000000001</v>
          </cell>
        </row>
        <row r="536">
          <cell r="F536" t="str">
            <v>LL-30-3589</v>
          </cell>
          <cell r="G536" t="str">
            <v>FlowArt Mini EXPRESS: Holiday Trace-By-Line #3 - TGT Bullseye Playground Exclusive</v>
          </cell>
          <cell r="H536" t="str">
            <v>N</v>
          </cell>
          <cell r="I536" t="str">
            <v/>
          </cell>
          <cell r="J536"/>
          <cell r="K536"/>
          <cell r="L536"/>
          <cell r="M536">
            <v>6</v>
          </cell>
          <cell r="N536">
            <v>24</v>
          </cell>
          <cell r="O536">
            <v>4.99</v>
          </cell>
          <cell r="P536">
            <v>2.4950000000000001</v>
          </cell>
        </row>
        <row r="537">
          <cell r="F537">
            <v>167001</v>
          </cell>
          <cell r="G537" t="str">
            <v>FlowCrafts: Paper Flower Bouquet</v>
          </cell>
          <cell r="H537" t="str">
            <v>Y</v>
          </cell>
          <cell r="I537" t="str">
            <v>160</v>
          </cell>
          <cell r="J537">
            <v>810076211602</v>
          </cell>
          <cell r="K537">
            <v>50810076211607</v>
          </cell>
          <cell r="L537">
            <v>30810076211603</v>
          </cell>
          <cell r="M537">
            <v>4</v>
          </cell>
          <cell r="N537">
            <v>12</v>
          </cell>
          <cell r="O537">
            <v>19.989999999999998</v>
          </cell>
          <cell r="P537">
            <v>9.9949999999999992</v>
          </cell>
        </row>
        <row r="538">
          <cell r="F538">
            <v>167002</v>
          </cell>
          <cell r="G538" t="str">
            <v>FlowCrafts: Collage Art</v>
          </cell>
          <cell r="H538" t="str">
            <v>Y</v>
          </cell>
          <cell r="I538" t="str">
            <v>161</v>
          </cell>
          <cell r="J538">
            <v>810076211619</v>
          </cell>
          <cell r="K538">
            <v>50810076211614</v>
          </cell>
          <cell r="L538">
            <v>30810076211610</v>
          </cell>
          <cell r="M538">
            <v>4</v>
          </cell>
          <cell r="N538">
            <v>12</v>
          </cell>
          <cell r="O538">
            <v>19.989999999999998</v>
          </cell>
          <cell r="P538">
            <v>9.9949999999999992</v>
          </cell>
        </row>
        <row r="539">
          <cell r="F539">
            <v>167004</v>
          </cell>
          <cell r="G539" t="str">
            <v>FlowCrafts: Layered Wooden Wall Art</v>
          </cell>
          <cell r="H539" t="str">
            <v>Y</v>
          </cell>
          <cell r="I539" t="str">
            <v>163</v>
          </cell>
          <cell r="J539">
            <v>810076211633</v>
          </cell>
          <cell r="K539">
            <v>50810076211638</v>
          </cell>
          <cell r="L539">
            <v>30810076211634</v>
          </cell>
          <cell r="M539">
            <v>4</v>
          </cell>
          <cell r="N539">
            <v>12</v>
          </cell>
          <cell r="O539">
            <v>19.989999999999998</v>
          </cell>
          <cell r="P539">
            <v>9.9949999999999992</v>
          </cell>
        </row>
        <row r="540">
          <cell r="F540">
            <v>167005</v>
          </cell>
          <cell r="G540" t="str">
            <v>FlowCrafts: Cord-Wrapped Planters</v>
          </cell>
          <cell r="H540" t="str">
            <v>Y</v>
          </cell>
          <cell r="I540" t="str">
            <v>164</v>
          </cell>
          <cell r="J540">
            <v>810076211640</v>
          </cell>
          <cell r="K540">
            <v>50810076211645</v>
          </cell>
          <cell r="L540">
            <v>30810076211641</v>
          </cell>
          <cell r="M540">
            <v>4</v>
          </cell>
          <cell r="N540">
            <v>12</v>
          </cell>
          <cell r="O540">
            <v>19.989999999999998</v>
          </cell>
          <cell r="P540">
            <v>9.9949999999999992</v>
          </cell>
        </row>
        <row r="541">
          <cell r="F541">
            <v>167006</v>
          </cell>
          <cell r="G541" t="str">
            <v>FlowCrafts: Decorative Tile Lamp</v>
          </cell>
          <cell r="H541" t="str">
            <v>Y</v>
          </cell>
          <cell r="I541" t="str">
            <v>165</v>
          </cell>
          <cell r="J541">
            <v>810076211657</v>
          </cell>
          <cell r="K541">
            <v>50810076211652</v>
          </cell>
          <cell r="L541">
            <v>30810076211658</v>
          </cell>
          <cell r="M541">
            <v>4</v>
          </cell>
          <cell r="N541">
            <v>12</v>
          </cell>
          <cell r="O541">
            <v>19.989999999999998</v>
          </cell>
          <cell r="P541">
            <v>9.9949999999999992</v>
          </cell>
        </row>
        <row r="542">
          <cell r="F542" t="str">
            <v>LL-98-3188</v>
          </cell>
          <cell r="G542" t="str">
            <v>FlowArt 2PK - I&amp;C (165009+165006) - with BPAD</v>
          </cell>
          <cell r="H542" t="str">
            <v>Y</v>
          </cell>
          <cell r="I542" t="str">
            <v>335</v>
          </cell>
          <cell r="J542">
            <v>810076213354</v>
          </cell>
          <cell r="K542">
            <v>50810076213359</v>
          </cell>
          <cell r="L542">
            <v>30810076213355</v>
          </cell>
          <cell r="M542"/>
          <cell r="N542">
            <v>20</v>
          </cell>
          <cell r="O542">
            <v>29.99</v>
          </cell>
          <cell r="P542">
            <v>14.994999999999999</v>
          </cell>
        </row>
        <row r="543">
          <cell r="F543" t="str">
            <v>LL-98-3189</v>
          </cell>
          <cell r="G543" t="str">
            <v>FlowArt 2PK - Dot Art (165005+165008) - with BPAD</v>
          </cell>
          <cell r="H543" t="str">
            <v>Y</v>
          </cell>
          <cell r="I543" t="str">
            <v>336</v>
          </cell>
          <cell r="J543">
            <v>810076213361</v>
          </cell>
          <cell r="K543">
            <v>50810076213366</v>
          </cell>
          <cell r="L543">
            <v>30810076213362</v>
          </cell>
          <cell r="M543"/>
          <cell r="N543">
            <v>20</v>
          </cell>
          <cell r="O543">
            <v>29.99</v>
          </cell>
          <cell r="P543">
            <v>14.994999999999999</v>
          </cell>
        </row>
        <row r="544">
          <cell r="F544" t="str">
            <v>LL-98-3190</v>
          </cell>
          <cell r="G544" t="str">
            <v>FlowArt 2PK - Pop &amp; Pogo (165001+165007) - with BPAD</v>
          </cell>
          <cell r="H544" t="str">
            <v>Y</v>
          </cell>
          <cell r="I544" t="str">
            <v>337</v>
          </cell>
          <cell r="J544">
            <v>810076213378</v>
          </cell>
          <cell r="K544">
            <v>50810076213373</v>
          </cell>
          <cell r="L544">
            <v>30810076213379</v>
          </cell>
          <cell r="M544"/>
          <cell r="N544">
            <v>20</v>
          </cell>
          <cell r="O544">
            <v>29.99</v>
          </cell>
          <cell r="P544">
            <v>14.994999999999999</v>
          </cell>
        </row>
        <row r="545">
          <cell r="F545" t="str">
            <v>LL-98-3191</v>
          </cell>
          <cell r="G545" t="str">
            <v>FlowArt 2PK - SbS &amp; Pattern (165014+165012) - with BPAD</v>
          </cell>
          <cell r="H545" t="str">
            <v>Y</v>
          </cell>
          <cell r="I545" t="str">
            <v>338</v>
          </cell>
          <cell r="J545">
            <v>810076213385</v>
          </cell>
          <cell r="K545">
            <v>50810076213380</v>
          </cell>
          <cell r="L545">
            <v>30810076213386</v>
          </cell>
          <cell r="M545"/>
          <cell r="N545">
            <v>20</v>
          </cell>
          <cell r="O545">
            <v>29.99</v>
          </cell>
          <cell r="P545">
            <v>14.994999999999999</v>
          </cell>
        </row>
        <row r="546">
          <cell r="F546" t="str">
            <v>LL-98-3025</v>
          </cell>
          <cell r="G546" t="str">
            <v>FlowArt 2PK - UV (165009+165006)</v>
          </cell>
          <cell r="H546" t="str">
            <v>Y</v>
          </cell>
          <cell r="I546" t="str">
            <v>183</v>
          </cell>
          <cell r="J546">
            <v>810076211831</v>
          </cell>
          <cell r="K546">
            <v>50810076211836</v>
          </cell>
          <cell r="L546">
            <v>30810076211832</v>
          </cell>
          <cell r="M546"/>
          <cell r="N546">
            <v>20</v>
          </cell>
          <cell r="O546">
            <v>29.99</v>
          </cell>
          <cell r="P546">
            <v>14.994999999999999</v>
          </cell>
        </row>
        <row r="547">
          <cell r="F547" t="str">
            <v>LL-98-3026</v>
          </cell>
          <cell r="G547" t="str">
            <v>FlowArt 2PK - Dot Art (165005+165008)</v>
          </cell>
          <cell r="H547" t="str">
            <v>Y</v>
          </cell>
          <cell r="I547" t="str">
            <v>184</v>
          </cell>
          <cell r="J547">
            <v>810076211848</v>
          </cell>
          <cell r="K547">
            <v>50810076211843</v>
          </cell>
          <cell r="L547">
            <v>30810076211849</v>
          </cell>
          <cell r="M547"/>
          <cell r="N547">
            <v>20</v>
          </cell>
          <cell r="O547">
            <v>29.99</v>
          </cell>
          <cell r="P547">
            <v>14.994999999999999</v>
          </cell>
        </row>
        <row r="548">
          <cell r="F548" t="str">
            <v>LL-98-3027</v>
          </cell>
          <cell r="G548" t="str">
            <v>FlowArt 2PK - Pop &amp; Pogo (165001+165007)</v>
          </cell>
          <cell r="H548" t="str">
            <v>Y</v>
          </cell>
          <cell r="I548" t="str">
            <v>185</v>
          </cell>
          <cell r="J548">
            <v>810076211855</v>
          </cell>
          <cell r="K548">
            <v>50810076211850</v>
          </cell>
          <cell r="L548">
            <v>30810076211856</v>
          </cell>
          <cell r="M548"/>
          <cell r="N548">
            <v>20</v>
          </cell>
          <cell r="O548">
            <v>29.99</v>
          </cell>
          <cell r="P548">
            <v>14.994999999999999</v>
          </cell>
        </row>
        <row r="549">
          <cell r="F549" t="str">
            <v>LL-98-3028</v>
          </cell>
          <cell r="G549" t="str">
            <v>FlowArt 2PK - SBS &amp; HP (165014+165012)</v>
          </cell>
          <cell r="H549" t="str">
            <v>Y</v>
          </cell>
          <cell r="I549" t="str">
            <v>186</v>
          </cell>
          <cell r="J549">
            <v>810076211862</v>
          </cell>
          <cell r="K549">
            <v>50810076211867</v>
          </cell>
          <cell r="L549">
            <v>30810076211863</v>
          </cell>
          <cell r="M549"/>
          <cell r="N549">
            <v>20</v>
          </cell>
          <cell r="O549">
            <v>29.99</v>
          </cell>
          <cell r="P549">
            <v>14.994999999999999</v>
          </cell>
        </row>
        <row r="550">
          <cell r="F550" t="str">
            <v>LL-98-3091</v>
          </cell>
          <cell r="G550" t="str">
            <v>FlowArt 2PK - Dot Art 2 (165001+165005)</v>
          </cell>
          <cell r="H550" t="str">
            <v>Y</v>
          </cell>
          <cell r="I550" t="str">
            <v>223</v>
          </cell>
          <cell r="J550">
            <v>810076212234</v>
          </cell>
          <cell r="K550">
            <v>50810076212239</v>
          </cell>
          <cell r="L550">
            <v>30810076212235</v>
          </cell>
          <cell r="M550"/>
          <cell r="N550">
            <v>20</v>
          </cell>
          <cell r="O550">
            <v>29.99</v>
          </cell>
          <cell r="P550">
            <v>14.994999999999999</v>
          </cell>
        </row>
        <row r="551">
          <cell r="F551" t="str">
            <v>LL-98-3168</v>
          </cell>
          <cell r="G551" t="str">
            <v>FlowArt 2PK - Dot-by-Letter [3157 + 3158] - Fall</v>
          </cell>
          <cell r="H551" t="str">
            <v>Y</v>
          </cell>
          <cell r="I551" t="str">
            <v>312</v>
          </cell>
          <cell r="J551">
            <v>810076213125</v>
          </cell>
          <cell r="K551">
            <v>50810076213120</v>
          </cell>
          <cell r="L551">
            <v>30810076213126</v>
          </cell>
          <cell r="M551"/>
          <cell r="N551">
            <v>20</v>
          </cell>
          <cell r="O551">
            <v>29.99</v>
          </cell>
          <cell r="P551">
            <v>14.994999999999999</v>
          </cell>
        </row>
        <row r="552">
          <cell r="F552" t="str">
            <v>LL-98-3169</v>
          </cell>
          <cell r="G552" t="str">
            <v>FlowArt 2PK - Pogo &amp; UV [3159 + 3160] - Fall</v>
          </cell>
          <cell r="H552" t="str">
            <v>Y</v>
          </cell>
          <cell r="I552" t="str">
            <v>313</v>
          </cell>
          <cell r="J552">
            <v>810076213132</v>
          </cell>
          <cell r="K552">
            <v>50810076213137</v>
          </cell>
          <cell r="L552">
            <v>30810076213133</v>
          </cell>
          <cell r="M552"/>
          <cell r="N552">
            <v>20</v>
          </cell>
          <cell r="O552">
            <v>29.99</v>
          </cell>
          <cell r="P552">
            <v>14.994999999999999</v>
          </cell>
        </row>
        <row r="553">
          <cell r="F553" t="str">
            <v>LL-98-3170</v>
          </cell>
          <cell r="G553" t="str">
            <v>FlowArt 2PK - DbL &amp; UV [3162 + 3163] - Winter</v>
          </cell>
          <cell r="H553" t="str">
            <v>Y</v>
          </cell>
          <cell r="I553" t="str">
            <v>314</v>
          </cell>
          <cell r="J553">
            <v>810076213149</v>
          </cell>
          <cell r="K553">
            <v>50810076213144</v>
          </cell>
          <cell r="L553">
            <v>30810076213140</v>
          </cell>
          <cell r="M553"/>
          <cell r="N553">
            <v>20</v>
          </cell>
          <cell r="O553">
            <v>29.99</v>
          </cell>
          <cell r="P553">
            <v>14.994999999999999</v>
          </cell>
        </row>
        <row r="554">
          <cell r="F554" t="str">
            <v>LL-98-3386</v>
          </cell>
          <cell r="G554" t="str">
            <v>FlowArt 2PK - Cozy &amp; Inspo [ 3149 + 3224 ]</v>
          </cell>
          <cell r="H554" t="str">
            <v>N</v>
          </cell>
          <cell r="I554" t="str">
            <v>587</v>
          </cell>
          <cell r="J554">
            <v>810076215877</v>
          </cell>
          <cell r="K554">
            <v>50810076215872</v>
          </cell>
          <cell r="L554">
            <v>30810076215878</v>
          </cell>
          <cell r="M554"/>
          <cell r="N554">
            <v>20</v>
          </cell>
          <cell r="O554">
            <v>29.99</v>
          </cell>
          <cell r="P554">
            <v>14.994999999999999</v>
          </cell>
        </row>
        <row r="555">
          <cell r="F555" t="str">
            <v>LL-98-3029</v>
          </cell>
          <cell r="G555" t="str">
            <v>FlowArt 2PK - DbL &amp; SbS [ 3149 + 3150 ]</v>
          </cell>
          <cell r="H555" t="str">
            <v>Y</v>
          </cell>
          <cell r="I555" t="str">
            <v>187</v>
          </cell>
          <cell r="J555">
            <v>810076211879</v>
          </cell>
          <cell r="K555">
            <v>50810076211874</v>
          </cell>
          <cell r="L555">
            <v>30810076211870</v>
          </cell>
          <cell r="M555"/>
          <cell r="N555">
            <v>20</v>
          </cell>
          <cell r="O555">
            <v>29.99</v>
          </cell>
          <cell r="P555">
            <v>14.994999999999999</v>
          </cell>
        </row>
        <row r="556">
          <cell r="F556" t="str">
            <v>LL-98-3030</v>
          </cell>
          <cell r="G556" t="str">
            <v>FlowArt 2PK - DbL - Metallic ink [ 3148 + 3153 ]</v>
          </cell>
          <cell r="H556" t="str">
            <v>Y</v>
          </cell>
          <cell r="I556" t="str">
            <v>188</v>
          </cell>
          <cell r="J556">
            <v>810076211886</v>
          </cell>
          <cell r="K556">
            <v>50810076211881</v>
          </cell>
          <cell r="L556">
            <v>30810076211887</v>
          </cell>
          <cell r="M556"/>
          <cell r="N556">
            <v>20</v>
          </cell>
          <cell r="O556">
            <v>29.99</v>
          </cell>
          <cell r="P556">
            <v>14.994999999999999</v>
          </cell>
        </row>
        <row r="557">
          <cell r="F557" t="str">
            <v>LL-98-3031</v>
          </cell>
          <cell r="G557" t="str">
            <v>FlowArt 2PK - HP &amp; PD [ 3151 + 3152 ]</v>
          </cell>
          <cell r="H557" t="str">
            <v>Y</v>
          </cell>
          <cell r="I557" t="str">
            <v>189</v>
          </cell>
          <cell r="J557">
            <v>810076211893</v>
          </cell>
          <cell r="K557">
            <v>50810076211898</v>
          </cell>
          <cell r="L557">
            <v>30810076211894</v>
          </cell>
          <cell r="M557"/>
          <cell r="N557">
            <v>20</v>
          </cell>
          <cell r="O557">
            <v>29.99</v>
          </cell>
          <cell r="P557">
            <v>14.994999999999999</v>
          </cell>
        </row>
        <row r="558">
          <cell r="F558" t="str">
            <v>LL-98-3217</v>
          </cell>
          <cell r="G558" t="str">
            <v>FlowArt 2Pck: In the Groove [3200 + 3201]</v>
          </cell>
          <cell r="H558" t="str">
            <v>N</v>
          </cell>
          <cell r="I558" t="str">
            <v>389</v>
          </cell>
          <cell r="J558">
            <v>810076213897</v>
          </cell>
          <cell r="K558">
            <v>50810076213892</v>
          </cell>
          <cell r="L558">
            <v>30810076213898</v>
          </cell>
          <cell r="M558"/>
          <cell r="N558">
            <v>12</v>
          </cell>
          <cell r="O558">
            <v>29.99</v>
          </cell>
          <cell r="P558">
            <v>14.994999999999999</v>
          </cell>
        </row>
        <row r="559">
          <cell r="F559" t="str">
            <v>LL-98-3218</v>
          </cell>
          <cell r="G559" t="str">
            <v>FlowArt 2Pck: TbLine [3222 + 3223]</v>
          </cell>
          <cell r="H559" t="str">
            <v>N</v>
          </cell>
          <cell r="I559" t="str">
            <v>390</v>
          </cell>
          <cell r="J559">
            <v>810076213903</v>
          </cell>
          <cell r="K559">
            <v>50810076213908</v>
          </cell>
          <cell r="L559">
            <v>30810076213904</v>
          </cell>
          <cell r="M559"/>
          <cell r="N559">
            <v>20</v>
          </cell>
          <cell r="O559">
            <v>29.99</v>
          </cell>
          <cell r="P559">
            <v>14.994999999999999</v>
          </cell>
        </row>
        <row r="560">
          <cell r="F560" t="str">
            <v>LL-98-3219</v>
          </cell>
          <cell r="G560" t="str">
            <v>FlowArt 2Pck: Doodle Trace [3204 + 3205]</v>
          </cell>
          <cell r="H560" t="str">
            <v>N</v>
          </cell>
          <cell r="I560" t="str">
            <v>391</v>
          </cell>
          <cell r="J560">
            <v>810076213910</v>
          </cell>
          <cell r="K560">
            <v>50810076213915</v>
          </cell>
          <cell r="L560">
            <v>30810076213911</v>
          </cell>
          <cell r="M560"/>
          <cell r="N560">
            <v>18</v>
          </cell>
          <cell r="O560">
            <v>29.99</v>
          </cell>
          <cell r="P560">
            <v>14.994999999999999</v>
          </cell>
        </row>
        <row r="561">
          <cell r="F561" t="str">
            <v>LL-98-3307</v>
          </cell>
          <cell r="G561" t="str">
            <v>FlowArt 3Pck: Fall DbL [3248 + 3158 + 3157]</v>
          </cell>
          <cell r="H561" t="str">
            <v>N</v>
          </cell>
          <cell r="I561" t="str">
            <v>494</v>
          </cell>
          <cell r="J561">
            <v>810076214948</v>
          </cell>
          <cell r="K561">
            <v>50810076214943</v>
          </cell>
          <cell r="L561">
            <v>30810076214949</v>
          </cell>
          <cell r="M561"/>
          <cell r="N561">
            <v>20</v>
          </cell>
          <cell r="O561">
            <v>29.99</v>
          </cell>
          <cell r="P561">
            <v>14.994999999999999</v>
          </cell>
        </row>
        <row r="562">
          <cell r="F562" t="str">
            <v>LL-98-3321</v>
          </cell>
          <cell r="G562" t="str">
            <v>FlowArt 3Pck: Fall Mixed Mode [3248 + 3290 + 3247]</v>
          </cell>
          <cell r="H562" t="str">
            <v>Y</v>
          </cell>
          <cell r="I562" t="str">
            <v>509</v>
          </cell>
          <cell r="J562">
            <v>810076215099</v>
          </cell>
          <cell r="K562">
            <v>50810076215094</v>
          </cell>
          <cell r="L562">
            <v>30810076215090</v>
          </cell>
          <cell r="M562"/>
          <cell r="N562">
            <v>20</v>
          </cell>
          <cell r="O562">
            <v>29.99</v>
          </cell>
          <cell r="P562">
            <v>14.994999999999999</v>
          </cell>
        </row>
        <row r="563">
          <cell r="F563" t="str">
            <v>LL-98-3308</v>
          </cell>
          <cell r="G563" t="str">
            <v>FlowArt 3Pck: Winter DbL [3244 + 3245 + 3162]</v>
          </cell>
          <cell r="H563" t="str">
            <v>Y</v>
          </cell>
          <cell r="I563" t="str">
            <v>495</v>
          </cell>
          <cell r="J563">
            <v>810076214955</v>
          </cell>
          <cell r="K563">
            <v>50810076214950</v>
          </cell>
          <cell r="L563">
            <v>30810076214956</v>
          </cell>
          <cell r="M563"/>
          <cell r="N563">
            <v>20</v>
          </cell>
          <cell r="O563">
            <v>29.99</v>
          </cell>
          <cell r="P563">
            <v>14.994999999999999</v>
          </cell>
        </row>
        <row r="564">
          <cell r="F564" t="str">
            <v>LL-98-3309</v>
          </cell>
          <cell r="G564" t="str">
            <v>FlowArt 3Pck: Winter Mixed [3368 + 3367 + 3246]</v>
          </cell>
          <cell r="H564" t="str">
            <v>Y</v>
          </cell>
          <cell r="I564" t="str">
            <v>496</v>
          </cell>
          <cell r="J564">
            <v>810076214962</v>
          </cell>
          <cell r="K564">
            <v>50810076214967</v>
          </cell>
          <cell r="L564">
            <v>30810076214963</v>
          </cell>
          <cell r="M564"/>
          <cell r="N564">
            <v>20</v>
          </cell>
          <cell r="O564">
            <v>29.99</v>
          </cell>
          <cell r="P564">
            <v>14.994999999999999</v>
          </cell>
        </row>
        <row r="565">
          <cell r="F565" t="str">
            <v>LL-98-3464</v>
          </cell>
          <cell r="G565" t="str">
            <v>FlowArt 3Pck: Winter Cozy [3342 + 3343 + 3344]</v>
          </cell>
          <cell r="H565" t="str">
            <v>N</v>
          </cell>
          <cell r="I565" t="str">
            <v>746</v>
          </cell>
          <cell r="J565">
            <v>810076217468</v>
          </cell>
          <cell r="K565">
            <v>50810076217463</v>
          </cell>
          <cell r="L565">
            <v>30810076217469</v>
          </cell>
          <cell r="M565"/>
          <cell r="N565">
            <v>20</v>
          </cell>
          <cell r="O565">
            <v>29.99</v>
          </cell>
          <cell r="P565">
            <v>14.994999999999999</v>
          </cell>
        </row>
        <row r="566">
          <cell r="F566" t="str">
            <v>LL-98-3314</v>
          </cell>
          <cell r="G566" t="str">
            <v>FlowArt 3Pck: DbL Classic [5005 + 5008 +3149]</v>
          </cell>
          <cell r="H566" t="str">
            <v>Y</v>
          </cell>
          <cell r="I566" t="str">
            <v>502</v>
          </cell>
          <cell r="J566">
            <v>810076215020</v>
          </cell>
          <cell r="K566">
            <v>50810076215025</v>
          </cell>
          <cell r="L566">
            <v>30810076215021</v>
          </cell>
          <cell r="M566"/>
          <cell r="N566">
            <v>14</v>
          </cell>
          <cell r="O566">
            <v>29.99</v>
          </cell>
          <cell r="P566">
            <v>14.994999999999999</v>
          </cell>
        </row>
        <row r="567">
          <cell r="F567" t="str">
            <v>LL-98-3315</v>
          </cell>
          <cell r="G567" t="str">
            <v>FlowArt 3Pck: Deep + Sgarden + Jungle [3153 + 3150 +3200]</v>
          </cell>
          <cell r="H567" t="str">
            <v>Y</v>
          </cell>
          <cell r="I567" t="str">
            <v>503</v>
          </cell>
          <cell r="J567">
            <v>810076215037</v>
          </cell>
          <cell r="K567">
            <v>50810076215032</v>
          </cell>
          <cell r="L567">
            <v>30810076215038</v>
          </cell>
          <cell r="M567"/>
          <cell r="N567">
            <v>14</v>
          </cell>
          <cell r="O567">
            <v>29.99</v>
          </cell>
          <cell r="P567">
            <v>14.994999999999999</v>
          </cell>
        </row>
        <row r="568">
          <cell r="F568" t="str">
            <v>LL-98-3316</v>
          </cell>
          <cell r="G568" t="str">
            <v>FlowArt 3Pck: Galaxy + TPara + Animals [3148 + 3222 + 5012]</v>
          </cell>
          <cell r="H568" t="str">
            <v>Y</v>
          </cell>
          <cell r="I568" t="str">
            <v>504</v>
          </cell>
          <cell r="J568">
            <v>810076215044</v>
          </cell>
          <cell r="K568">
            <v>50810076215049</v>
          </cell>
          <cell r="L568">
            <v>30810076215045</v>
          </cell>
          <cell r="M568"/>
          <cell r="N568">
            <v>14</v>
          </cell>
          <cell r="O568">
            <v>29.99</v>
          </cell>
          <cell r="P568">
            <v>14.994999999999999</v>
          </cell>
        </row>
        <row r="569">
          <cell r="F569" t="str">
            <v>LL-98-3317</v>
          </cell>
          <cell r="G569" t="str">
            <v>FlowArt 3Pck: TbLine Classic [3222 + 3223 + 3249]</v>
          </cell>
          <cell r="H569" t="str">
            <v>Y</v>
          </cell>
          <cell r="I569" t="str">
            <v>505</v>
          </cell>
          <cell r="J569">
            <v>810076215051</v>
          </cell>
          <cell r="K569">
            <v>50810076215056</v>
          </cell>
          <cell r="L569">
            <v>30810076215052</v>
          </cell>
          <cell r="M569"/>
          <cell r="N569">
            <v>14</v>
          </cell>
          <cell r="O569">
            <v>29.99</v>
          </cell>
          <cell r="P569">
            <v>14.994999999999999</v>
          </cell>
        </row>
        <row r="570">
          <cell r="F570" t="str">
            <v>LL-98-3318</v>
          </cell>
          <cell r="G570" t="str">
            <v>FlowArt 3Pck: PackBags + Wild + Foodie [3206 + 3204 + 3151]</v>
          </cell>
          <cell r="H570" t="str">
            <v>Y</v>
          </cell>
          <cell r="I570" t="str">
            <v>506</v>
          </cell>
          <cell r="J570">
            <v>810076215068</v>
          </cell>
          <cell r="K570">
            <v>50810076215063</v>
          </cell>
          <cell r="L570">
            <v>30810076215069</v>
          </cell>
          <cell r="M570"/>
          <cell r="N570">
            <v>14</v>
          </cell>
          <cell r="O570">
            <v>29.99</v>
          </cell>
          <cell r="P570">
            <v>14.994999999999999</v>
          </cell>
        </row>
        <row r="571">
          <cell r="F571" t="str">
            <v>LL-98-3319</v>
          </cell>
          <cell r="G571" t="str">
            <v>FlowArt 3Pck: Moonlit + Style + Cozy Cottage [3299 + 3205 + 3149]</v>
          </cell>
          <cell r="H571" t="str">
            <v>Y</v>
          </cell>
          <cell r="I571" t="str">
            <v>507</v>
          </cell>
          <cell r="J571">
            <v>810076215075</v>
          </cell>
          <cell r="K571">
            <v>50810076215070</v>
          </cell>
          <cell r="L571">
            <v>30810076215076</v>
          </cell>
          <cell r="M571"/>
          <cell r="N571">
            <v>14</v>
          </cell>
          <cell r="O571">
            <v>29.99</v>
          </cell>
          <cell r="P571">
            <v>14.994999999999999</v>
          </cell>
        </row>
        <row r="572">
          <cell r="F572" t="str">
            <v>LL-98-3320</v>
          </cell>
          <cell r="G572" t="str">
            <v>FlowArt 3Pck: MLand + Desert + Pause [3300 + 3201 +3207]</v>
          </cell>
          <cell r="H572" t="str">
            <v>Y</v>
          </cell>
          <cell r="I572" t="str">
            <v>508</v>
          </cell>
          <cell r="J572">
            <v>810076215082</v>
          </cell>
          <cell r="K572">
            <v>50810076215087</v>
          </cell>
          <cell r="L572">
            <v>30810076215083</v>
          </cell>
          <cell r="M572"/>
          <cell r="N572">
            <v>14</v>
          </cell>
          <cell r="O572">
            <v>29.99</v>
          </cell>
          <cell r="P572">
            <v>14.994999999999999</v>
          </cell>
        </row>
        <row r="573">
          <cell r="F573" t="str">
            <v>LL-98-3258</v>
          </cell>
          <cell r="G573" t="str">
            <v>FlowArt 3Pck: Blooms + Coastline + Foodie [3202 + 3203 +3151]</v>
          </cell>
          <cell r="H573" t="str">
            <v>Y</v>
          </cell>
          <cell r="I573" t="str">
            <v>435</v>
          </cell>
          <cell r="J573">
            <v>810076214351</v>
          </cell>
          <cell r="K573">
            <v>50810076214356</v>
          </cell>
          <cell r="L573">
            <v>30810076214352</v>
          </cell>
          <cell r="M573"/>
          <cell r="N573">
            <v>14</v>
          </cell>
          <cell r="O573">
            <v>29.99</v>
          </cell>
          <cell r="P573">
            <v>14.994999999999999</v>
          </cell>
        </row>
        <row r="574">
          <cell r="F574" t="str">
            <v>LL-98-3259</v>
          </cell>
          <cell r="G574" t="str">
            <v>FlowArt 3Pck: Beach + Americana + W&amp;W  [3243 + 3154 + 3225 ]</v>
          </cell>
          <cell r="H574" t="str">
            <v>Y</v>
          </cell>
          <cell r="I574" t="str">
            <v>436</v>
          </cell>
          <cell r="J574">
            <v>810076214368</v>
          </cell>
          <cell r="K574">
            <v>50810076214363</v>
          </cell>
          <cell r="L574">
            <v>30810076214369</v>
          </cell>
          <cell r="M574"/>
          <cell r="N574">
            <v>14</v>
          </cell>
          <cell r="O574">
            <v>29.99</v>
          </cell>
          <cell r="P574">
            <v>14.994999999999999</v>
          </cell>
        </row>
        <row r="575">
          <cell r="F575" t="str">
            <v>LL-98-3257</v>
          </cell>
          <cell r="G575" t="str">
            <v>FlowArt 3Pck: Brunch + Inspo + Frag Blooms [3249 + 3224 + 3203]</v>
          </cell>
          <cell r="H575" t="str">
            <v>Y</v>
          </cell>
          <cell r="I575" t="str">
            <v>434</v>
          </cell>
          <cell r="J575">
            <v>810076214344</v>
          </cell>
          <cell r="K575">
            <v>50810076214349</v>
          </cell>
          <cell r="L575">
            <v>30810076214345</v>
          </cell>
          <cell r="M575"/>
          <cell r="N575">
            <v>14</v>
          </cell>
          <cell r="O575">
            <v>29.99</v>
          </cell>
          <cell r="P575">
            <v>14.994999999999999</v>
          </cell>
        </row>
        <row r="576">
          <cell r="F576" t="str">
            <v>LL-98-3310</v>
          </cell>
          <cell r="G576" t="str">
            <v>FlowArt 3Pck: Metallic [3299 + 3300 + 3148]</v>
          </cell>
          <cell r="H576" t="str">
            <v>Y</v>
          </cell>
          <cell r="I576" t="str">
            <v>497</v>
          </cell>
          <cell r="J576">
            <v>810076214979</v>
          </cell>
          <cell r="K576">
            <v>50810076214974</v>
          </cell>
          <cell r="L576">
            <v>30810076214970</v>
          </cell>
          <cell r="M576"/>
          <cell r="N576">
            <v>14</v>
          </cell>
          <cell r="O576">
            <v>29.99</v>
          </cell>
          <cell r="P576">
            <v>14.994999999999999</v>
          </cell>
        </row>
        <row r="577">
          <cell r="F577" t="str">
            <v>LL-98-3500</v>
          </cell>
          <cell r="G577" t="str">
            <v>FlowArt 3Pck: Me Time + Bow + Bookshelf - VAL</v>
          </cell>
          <cell r="H577" t="str">
            <v>Y</v>
          </cell>
          <cell r="I577" t="str">
            <v>683</v>
          </cell>
          <cell r="J577">
            <v>810076216836</v>
          </cell>
          <cell r="K577">
            <v>50810076216831</v>
          </cell>
          <cell r="L577">
            <v>30810076216837</v>
          </cell>
          <cell r="M577"/>
          <cell r="N577">
            <v>14</v>
          </cell>
          <cell r="O577">
            <v>29.99</v>
          </cell>
          <cell r="P577">
            <v>14.994999999999999</v>
          </cell>
        </row>
        <row r="578">
          <cell r="F578" t="str">
            <v>LL-98-3516</v>
          </cell>
          <cell r="G578" t="str">
            <v>FlowArt 3Pck: Lovestruck + Sweetened + Inspo</v>
          </cell>
          <cell r="H578" t="str">
            <v>Y</v>
          </cell>
          <cell r="I578" t="str">
            <v>714</v>
          </cell>
          <cell r="J578">
            <v>810076217147</v>
          </cell>
          <cell r="K578">
            <v>50810076217142</v>
          </cell>
          <cell r="L578">
            <v>30810076217148</v>
          </cell>
          <cell r="M578"/>
          <cell r="N578">
            <v>14</v>
          </cell>
          <cell r="O578">
            <v>29.99</v>
          </cell>
          <cell r="P578">
            <v>14.994999999999999</v>
          </cell>
        </row>
        <row r="579">
          <cell r="F579" t="str">
            <v>LL-98-3517</v>
          </cell>
          <cell r="G579" t="str">
            <v>FlowArt 3Pck: Birdsong + Sparkle + Deep</v>
          </cell>
          <cell r="H579" t="str">
            <v>Y</v>
          </cell>
          <cell r="I579" t="str">
            <v>715</v>
          </cell>
          <cell r="J579">
            <v>810076217154</v>
          </cell>
          <cell r="K579">
            <v>50810076217159</v>
          </cell>
          <cell r="L579">
            <v>30810076217155</v>
          </cell>
          <cell r="M579"/>
          <cell r="N579">
            <v>14</v>
          </cell>
          <cell r="O579">
            <v>29.99</v>
          </cell>
          <cell r="P579">
            <v>14.994999999999999</v>
          </cell>
        </row>
        <row r="580">
          <cell r="F580" t="str">
            <v>LL-98-3518</v>
          </cell>
          <cell r="G580" t="str">
            <v>FlowArt 3Pck: Blooms + Coastline + Animals</v>
          </cell>
          <cell r="H580" t="str">
            <v>Y</v>
          </cell>
          <cell r="I580" t="str">
            <v>716</v>
          </cell>
          <cell r="J580">
            <v>810076217161</v>
          </cell>
          <cell r="K580">
            <v>50810076217166</v>
          </cell>
          <cell r="L580">
            <v>30810076217162</v>
          </cell>
          <cell r="M580"/>
          <cell r="N580">
            <v>14</v>
          </cell>
          <cell r="O580">
            <v>29.99</v>
          </cell>
          <cell r="P580">
            <v>14.994999999999999</v>
          </cell>
        </row>
        <row r="581">
          <cell r="F581" t="str">
            <v>LL-98-3519</v>
          </cell>
          <cell r="G581" t="str">
            <v>FlowArt 3Pck: Pets + Horizons + TPara</v>
          </cell>
          <cell r="H581" t="str">
            <v>Y</v>
          </cell>
          <cell r="I581" t="str">
            <v>717</v>
          </cell>
          <cell r="J581">
            <v>810076217178</v>
          </cell>
          <cell r="K581">
            <v>50810076217173</v>
          </cell>
          <cell r="L581">
            <v>30810076217179</v>
          </cell>
          <cell r="M581"/>
          <cell r="N581">
            <v>14</v>
          </cell>
          <cell r="O581">
            <v>29.99</v>
          </cell>
          <cell r="P581">
            <v>14.994999999999999</v>
          </cell>
        </row>
        <row r="582">
          <cell r="F582" t="str">
            <v>LL-98-3520</v>
          </cell>
          <cell r="G582" t="str">
            <v>FlowArt 3Pck: Pets + Horizons + Botanicals</v>
          </cell>
          <cell r="H582" t="str">
            <v>Y</v>
          </cell>
          <cell r="I582" t="str">
            <v>718</v>
          </cell>
          <cell r="J582">
            <v>810076217185</v>
          </cell>
          <cell r="K582">
            <v>50810076217180</v>
          </cell>
          <cell r="L582">
            <v>30810076217186</v>
          </cell>
          <cell r="M582"/>
          <cell r="N582">
            <v>14</v>
          </cell>
          <cell r="O582">
            <v>29.99</v>
          </cell>
          <cell r="P582">
            <v>14.994999999999999</v>
          </cell>
        </row>
        <row r="583">
          <cell r="F583" t="str">
            <v>LL-98-3521</v>
          </cell>
          <cell r="G583" t="str">
            <v>FlowArt 3Pck: Me Time + Bow + Bookshelf</v>
          </cell>
          <cell r="H583" t="str">
            <v>Y</v>
          </cell>
          <cell r="I583" t="str">
            <v>719</v>
          </cell>
          <cell r="J583">
            <v>810076217192</v>
          </cell>
          <cell r="K583">
            <v>50810076217197</v>
          </cell>
          <cell r="L583">
            <v>30810076217193</v>
          </cell>
          <cell r="M583"/>
          <cell r="N583">
            <v>14</v>
          </cell>
          <cell r="O583">
            <v>29.99</v>
          </cell>
          <cell r="P583">
            <v>14.994999999999999</v>
          </cell>
        </row>
        <row r="584">
          <cell r="F584" t="str">
            <v>LL-98-3522</v>
          </cell>
          <cell r="G584" t="str">
            <v>FlowArt 3Pck: Jungle + Desert + TPara</v>
          </cell>
          <cell r="H584" t="str">
            <v>Y</v>
          </cell>
          <cell r="I584" t="str">
            <v>720</v>
          </cell>
          <cell r="J584">
            <v>810076217208</v>
          </cell>
          <cell r="K584">
            <v>50810076217203</v>
          </cell>
          <cell r="L584">
            <v>30810076217209</v>
          </cell>
          <cell r="M584"/>
          <cell r="N584">
            <v>14</v>
          </cell>
          <cell r="O584">
            <v>29.99</v>
          </cell>
          <cell r="P584">
            <v>14.994999999999999</v>
          </cell>
        </row>
        <row r="585">
          <cell r="F585" t="str">
            <v>LL-98-3523</v>
          </cell>
          <cell r="G585" t="str">
            <v>FlowArt 3Pck: Homegrown + Cheeky + Home Sweet Home</v>
          </cell>
          <cell r="H585" t="str">
            <v>Y</v>
          </cell>
          <cell r="I585" t="str">
            <v>721</v>
          </cell>
          <cell r="J585">
            <v>810076217215</v>
          </cell>
          <cell r="K585">
            <v>50810076217210</v>
          </cell>
          <cell r="L585">
            <v>30810076217216</v>
          </cell>
          <cell r="M585"/>
          <cell r="N585">
            <v>14</v>
          </cell>
          <cell r="O585">
            <v>29.99</v>
          </cell>
          <cell r="P585">
            <v>14.994999999999999</v>
          </cell>
        </row>
        <row r="586">
          <cell r="F586" t="str">
            <v>LL-98-3524</v>
          </cell>
          <cell r="G586" t="str">
            <v>FlowArt 3Pck: Homegrown + Cheeky + Tranquil Waters</v>
          </cell>
          <cell r="H586" t="str">
            <v>Y</v>
          </cell>
          <cell r="I586" t="str">
            <v>722</v>
          </cell>
          <cell r="J586">
            <v>810076217222</v>
          </cell>
          <cell r="K586">
            <v>50810076217227</v>
          </cell>
          <cell r="L586">
            <v>30810076217223</v>
          </cell>
          <cell r="M586"/>
          <cell r="N586">
            <v>14</v>
          </cell>
          <cell r="O586">
            <v>29.99</v>
          </cell>
          <cell r="P586">
            <v>14.994999999999999</v>
          </cell>
        </row>
        <row r="587">
          <cell r="F587" t="str">
            <v>LL-98-3525</v>
          </cell>
          <cell r="G587" t="str">
            <v>FlowArt 3Pck: Stitch Line 1 + Stitch Line 2 + Embroidery</v>
          </cell>
          <cell r="H587" t="str">
            <v>Y</v>
          </cell>
          <cell r="I587" t="str">
            <v>723</v>
          </cell>
          <cell r="J587">
            <v>810076217239</v>
          </cell>
          <cell r="K587">
            <v>50810076217234</v>
          </cell>
          <cell r="L587">
            <v>30810076217230</v>
          </cell>
          <cell r="M587"/>
          <cell r="N587">
            <v>14</v>
          </cell>
          <cell r="O587">
            <v>29.99</v>
          </cell>
          <cell r="P587">
            <v>14.994999999999999</v>
          </cell>
        </row>
        <row r="588">
          <cell r="F588" t="str">
            <v>LL-98-3526</v>
          </cell>
          <cell r="G588" t="str">
            <v>FlowArt 3Pck: Garden + Quilting + Sown with Love</v>
          </cell>
          <cell r="H588" t="str">
            <v>Y</v>
          </cell>
          <cell r="I588" t="str">
            <v>724</v>
          </cell>
          <cell r="J588">
            <v>810076217246</v>
          </cell>
          <cell r="K588">
            <v>50810076217241</v>
          </cell>
          <cell r="L588">
            <v>30810076217247</v>
          </cell>
          <cell r="M588"/>
          <cell r="N588">
            <v>14</v>
          </cell>
          <cell r="O588">
            <v>29.99</v>
          </cell>
          <cell r="P588">
            <v>14.994999999999999</v>
          </cell>
        </row>
        <row r="589">
          <cell r="F589" t="str">
            <v>LL-98-3549</v>
          </cell>
          <cell r="G589" t="str">
            <v>FlowArt 3Pck: TbGroove Flowers + Coastal Sea Life + TBD</v>
          </cell>
          <cell r="H589" t="str">
            <v>N</v>
          </cell>
          <cell r="I589" t="str">
            <v/>
          </cell>
          <cell r="O589">
            <v>29.99</v>
          </cell>
          <cell r="P589">
            <v>14.994999999999999</v>
          </cell>
        </row>
        <row r="590">
          <cell r="F590" t="str">
            <v>LL-98-3527</v>
          </cell>
          <cell r="G590" t="str">
            <v>FlowArt 3Pck: Butterfly + Botanicals + Birdsong [Metallic]</v>
          </cell>
          <cell r="H590" t="str">
            <v>Y</v>
          </cell>
          <cell r="I590" t="str">
            <v>725</v>
          </cell>
          <cell r="J590">
            <v>810076217253</v>
          </cell>
          <cell r="K590">
            <v>50810076217258</v>
          </cell>
          <cell r="L590">
            <v>30810076217254</v>
          </cell>
          <cell r="M590"/>
          <cell r="N590">
            <v>14</v>
          </cell>
          <cell r="O590">
            <v>29.99</v>
          </cell>
          <cell r="P590">
            <v>14.994999999999999</v>
          </cell>
        </row>
        <row r="591">
          <cell r="F591" t="str">
            <v>LL-98-3289</v>
          </cell>
          <cell r="G591" t="str">
            <v>FlowArt 3Pck: Beach + Americana + Deep [3243 + 3154 + 3153] - TEMP</v>
          </cell>
          <cell r="H591" t="str">
            <v>Y</v>
          </cell>
          <cell r="I591" t="str">
            <v>471</v>
          </cell>
          <cell r="J591">
            <v>810076214719</v>
          </cell>
          <cell r="K591">
            <v>50810076214714</v>
          </cell>
          <cell r="L591">
            <v>30810076214710</v>
          </cell>
          <cell r="M591"/>
          <cell r="N591">
            <v>14</v>
          </cell>
          <cell r="O591">
            <v>29.99</v>
          </cell>
          <cell r="P591">
            <v>14.994999999999999</v>
          </cell>
        </row>
        <row r="592">
          <cell r="F592" t="str">
            <v>LL-98-3399</v>
          </cell>
          <cell r="G592" t="str">
            <v>FlowArt 3Pck:  Secret Garden + Jungle Oasis + Into the Deep [Metallic ink] - TEMP</v>
          </cell>
          <cell r="H592" t="str">
            <v>N</v>
          </cell>
          <cell r="I592" t="str">
            <v>601</v>
          </cell>
          <cell r="J592">
            <v>810076216010</v>
          </cell>
          <cell r="K592">
            <v>50810076216015</v>
          </cell>
          <cell r="L592">
            <v>30810076216011</v>
          </cell>
          <cell r="M592"/>
          <cell r="N592">
            <v>14</v>
          </cell>
          <cell r="O592">
            <v>29.99</v>
          </cell>
          <cell r="P592">
            <v>14.994999999999999</v>
          </cell>
        </row>
        <row r="593">
          <cell r="F593" t="str">
            <v>LL-98-3400</v>
          </cell>
          <cell r="G593" t="str">
            <v>FlowArt 3Pck:  Tropical Paradise + Americana + Day at the Beach - TEMP</v>
          </cell>
          <cell r="H593" t="str">
            <v>N</v>
          </cell>
          <cell r="I593" t="str">
            <v>602</v>
          </cell>
          <cell r="J593">
            <v>810076216027</v>
          </cell>
          <cell r="K593">
            <v>50810076216022</v>
          </cell>
          <cell r="L593">
            <v>30810076216028</v>
          </cell>
          <cell r="M593"/>
          <cell r="N593">
            <v>14</v>
          </cell>
          <cell r="O593">
            <v>29.99</v>
          </cell>
          <cell r="P593">
            <v>14.994999999999999</v>
          </cell>
        </row>
        <row r="594">
          <cell r="F594" t="str">
            <v>LL-98-3401</v>
          </cell>
          <cell r="G594" t="str">
            <v>FlowArt 3Pck:  Foodie Fun + Into the Galaxy (Metallic ink] + Tropical Paradise - TEMP</v>
          </cell>
          <cell r="H594" t="str">
            <v>N</v>
          </cell>
          <cell r="I594" t="str">
            <v>603</v>
          </cell>
          <cell r="J594">
            <v>810076216034</v>
          </cell>
          <cell r="K594">
            <v>50810076216039</v>
          </cell>
          <cell r="L594">
            <v>30810076216035</v>
          </cell>
          <cell r="M594"/>
          <cell r="N594">
            <v>14</v>
          </cell>
          <cell r="O594">
            <v>29.99</v>
          </cell>
          <cell r="P594">
            <v>14.994999999999999</v>
          </cell>
        </row>
        <row r="595">
          <cell r="F595" t="str">
            <v>LL-98-3402</v>
          </cell>
          <cell r="G595" t="str">
            <v>FlowArt 3Pck:  Cozy Cottage + Landscapes + Botanicals - TEMP</v>
          </cell>
          <cell r="H595" t="str">
            <v>N</v>
          </cell>
          <cell r="I595" t="str">
            <v>604</v>
          </cell>
          <cell r="J595">
            <v>810076216041</v>
          </cell>
          <cell r="K595">
            <v>50810076216046</v>
          </cell>
          <cell r="L595">
            <v>30810076216042</v>
          </cell>
          <cell r="M595"/>
          <cell r="N595">
            <v>14</v>
          </cell>
          <cell r="O595">
            <v>29.99</v>
          </cell>
          <cell r="P595">
            <v>14.994999999999999</v>
          </cell>
        </row>
        <row r="596">
          <cell r="F596" t="str">
            <v>LL-98-3403</v>
          </cell>
          <cell r="G596" t="str">
            <v>FlowArt 3Pck:  Everyday Inspiration + Style Your Space + Lovestruck - TEMP</v>
          </cell>
          <cell r="H596" t="str">
            <v>N</v>
          </cell>
          <cell r="I596" t="str">
            <v>605</v>
          </cell>
          <cell r="J596">
            <v>810076216058</v>
          </cell>
          <cell r="K596">
            <v>50810076216053</v>
          </cell>
          <cell r="L596">
            <v>30810076216059</v>
          </cell>
          <cell r="M596"/>
          <cell r="N596">
            <v>14</v>
          </cell>
          <cell r="O596">
            <v>29.99</v>
          </cell>
          <cell r="P596">
            <v>14.994999999999999</v>
          </cell>
        </row>
        <row r="597">
          <cell r="F597" t="str">
            <v>LL-98-3404</v>
          </cell>
          <cell r="G597" t="str">
            <v>FlowArt 3Pck:  Americana + Pack Your Bags + Desert Dreams - TEMP</v>
          </cell>
          <cell r="H597" t="str">
            <v>N</v>
          </cell>
          <cell r="I597" t="str">
            <v>606</v>
          </cell>
          <cell r="J597">
            <v>810076216065</v>
          </cell>
          <cell r="K597">
            <v>50810076216060</v>
          </cell>
          <cell r="L597">
            <v>30810076216066</v>
          </cell>
          <cell r="M597"/>
          <cell r="N597">
            <v>14</v>
          </cell>
          <cell r="O597">
            <v>29.99</v>
          </cell>
          <cell r="P597">
            <v>14.994999999999999</v>
          </cell>
        </row>
        <row r="598">
          <cell r="F598" t="str">
            <v>LL-98-3497</v>
          </cell>
          <cell r="G598" t="str">
            <v>FlowArt 3Pck: Moonlit + Majestic + Wags</v>
          </cell>
          <cell r="H598" t="str">
            <v>Y</v>
          </cell>
          <cell r="I598" t="str">
            <v>680</v>
          </cell>
          <cell r="J598">
            <v>810076216805</v>
          </cell>
          <cell r="K598">
            <v>50810076216800</v>
          </cell>
          <cell r="L598">
            <v>30810076216806</v>
          </cell>
          <cell r="M598"/>
          <cell r="N598">
            <v>14</v>
          </cell>
          <cell r="O598">
            <v>29.99</v>
          </cell>
          <cell r="P598">
            <v>14.994999999999999</v>
          </cell>
        </row>
        <row r="599">
          <cell r="F599" t="str">
            <v>LL-98-3498</v>
          </cell>
          <cell r="G599" t="str">
            <v>FlowArt 3Pck: Galaxy + Deep + Botanicals</v>
          </cell>
          <cell r="H599" t="str">
            <v>Y</v>
          </cell>
          <cell r="I599" t="str">
            <v>681</v>
          </cell>
          <cell r="J599">
            <v>810076216812</v>
          </cell>
          <cell r="K599">
            <v>50810076216817</v>
          </cell>
          <cell r="L599">
            <v>30810076216813</v>
          </cell>
          <cell r="M599"/>
          <cell r="N599">
            <v>14</v>
          </cell>
          <cell r="O599">
            <v>29.99</v>
          </cell>
          <cell r="P599">
            <v>14.994999999999999</v>
          </cell>
        </row>
        <row r="600">
          <cell r="F600" t="str">
            <v>LL-98-3499</v>
          </cell>
          <cell r="G600" t="str">
            <v>FlowArt 3Pck: Inspo + Cottage + Landscapes</v>
          </cell>
          <cell r="H600" t="str">
            <v>Y</v>
          </cell>
          <cell r="I600" t="str">
            <v>682</v>
          </cell>
          <cell r="J600">
            <v>810076216829</v>
          </cell>
          <cell r="K600">
            <v>50810076216824</v>
          </cell>
          <cell r="L600">
            <v>30810076216820</v>
          </cell>
          <cell r="M600"/>
          <cell r="N600">
            <v>14</v>
          </cell>
          <cell r="O600">
            <v>29.99</v>
          </cell>
          <cell r="P600">
            <v>14.994999999999999</v>
          </cell>
        </row>
        <row r="601">
          <cell r="F601" t="str">
            <v>LL-98-3619</v>
          </cell>
          <cell r="G601" t="str">
            <v>FlowArt 3Pck: Inspo + Cottage + Sunny Days</v>
          </cell>
          <cell r="H601" t="str">
            <v>Y</v>
          </cell>
          <cell r="I601" t="str">
            <v>741</v>
          </cell>
          <cell r="J601">
            <v>810076217413</v>
          </cell>
          <cell r="K601">
            <v>50810076217418</v>
          </cell>
          <cell r="L601">
            <v>30810076217414</v>
          </cell>
          <cell r="M601"/>
          <cell r="N601">
            <v>14</v>
          </cell>
          <cell r="O601">
            <v>29.99</v>
          </cell>
          <cell r="P601">
            <v>14.994999999999999</v>
          </cell>
        </row>
        <row r="602">
          <cell r="F602" t="str">
            <v>LL-98-3620</v>
          </cell>
          <cell r="G602" t="str">
            <v>FlowArt 3Pck:  Sweetened + Sparkle + Lovestruck</v>
          </cell>
          <cell r="H602" t="str">
            <v>N</v>
          </cell>
          <cell r="I602" t="str">
            <v>742</v>
          </cell>
          <cell r="J602">
            <v>810076217420</v>
          </cell>
          <cell r="K602">
            <v>50810076217425</v>
          </cell>
          <cell r="L602">
            <v>30810076217421</v>
          </cell>
          <cell r="M602"/>
          <cell r="N602">
            <v>14</v>
          </cell>
          <cell r="O602">
            <v>29.99</v>
          </cell>
          <cell r="P602">
            <v>14.994999999999999</v>
          </cell>
        </row>
        <row r="603">
          <cell r="F603" t="str">
            <v>LL-98-3032</v>
          </cell>
          <cell r="G603" t="str">
            <v>FlowArt 4PK - Mix A (165009+165008+165001+165014)</v>
          </cell>
          <cell r="H603" t="str">
            <v>N</v>
          </cell>
          <cell r="I603" t="str">
            <v>190</v>
          </cell>
          <cell r="J603">
            <v>810076211909</v>
          </cell>
          <cell r="K603">
            <v>50810076211904</v>
          </cell>
          <cell r="L603">
            <v>30810076211900</v>
          </cell>
          <cell r="M603"/>
          <cell r="N603">
            <v>12</v>
          </cell>
          <cell r="O603">
            <v>49.99</v>
          </cell>
          <cell r="P603">
            <v>24.995000000000001</v>
          </cell>
        </row>
        <row r="604">
          <cell r="F604" t="str">
            <v>LL-98-3033</v>
          </cell>
          <cell r="G604" t="str">
            <v>FlowArt 4PK - Mix B (165006+165005+165007+165012)</v>
          </cell>
          <cell r="H604" t="str">
            <v>N</v>
          </cell>
          <cell r="I604" t="str">
            <v>191</v>
          </cell>
          <cell r="J604">
            <v>810076211916</v>
          </cell>
          <cell r="K604">
            <v>50810076211911</v>
          </cell>
          <cell r="L604">
            <v>30810076211917</v>
          </cell>
          <cell r="M604"/>
          <cell r="N604">
            <v>12</v>
          </cell>
          <cell r="O604">
            <v>49.99</v>
          </cell>
          <cell r="P604">
            <v>24.995000000000001</v>
          </cell>
        </row>
        <row r="605">
          <cell r="F605" t="str">
            <v>LL-98-3092</v>
          </cell>
          <cell r="G605" t="str">
            <v>FlowArt 4PK - Mix C (165001+165014+165012+165008)</v>
          </cell>
          <cell r="H605" t="str">
            <v>N</v>
          </cell>
          <cell r="I605" t="str">
            <v>224</v>
          </cell>
          <cell r="J605">
            <v>810076212241</v>
          </cell>
          <cell r="K605">
            <v>50810076212246</v>
          </cell>
          <cell r="L605">
            <v>30810076212242</v>
          </cell>
          <cell r="M605"/>
          <cell r="N605">
            <v>12</v>
          </cell>
          <cell r="O605">
            <v>49.99</v>
          </cell>
          <cell r="P605">
            <v>24.995000000000001</v>
          </cell>
        </row>
        <row r="606">
          <cell r="F606" t="str">
            <v>LL-25-3416</v>
          </cell>
          <cell r="G606" t="str">
            <v>Scented Palm Calms Plush - Sweet Dreams</v>
          </cell>
          <cell r="H606" t="str">
            <v>N</v>
          </cell>
          <cell r="I606" t="str">
            <v>629</v>
          </cell>
          <cell r="J606">
            <v>810076216294</v>
          </cell>
          <cell r="K606">
            <v>50810076216299</v>
          </cell>
          <cell r="L606">
            <v>30810076216295</v>
          </cell>
          <cell r="M606">
            <v>4</v>
          </cell>
          <cell r="N606">
            <v>16</v>
          </cell>
          <cell r="O606">
            <v>14.99</v>
          </cell>
          <cell r="P606">
            <v>7.4950000000000001</v>
          </cell>
        </row>
        <row r="607">
          <cell r="F607" t="str">
            <v>LL-25-3421</v>
          </cell>
          <cell r="G607" t="str">
            <v>Scented Palm Calms Plush - Woodland Retreat</v>
          </cell>
          <cell r="H607" t="str">
            <v>N</v>
          </cell>
          <cell r="I607" t="str">
            <v>630</v>
          </cell>
          <cell r="J607">
            <v>810076216300</v>
          </cell>
          <cell r="K607">
            <v>50810076216305</v>
          </cell>
          <cell r="L607">
            <v>30810076216301</v>
          </cell>
          <cell r="M607">
            <v>4</v>
          </cell>
          <cell r="N607">
            <v>16</v>
          </cell>
          <cell r="O607">
            <v>14.99</v>
          </cell>
          <cell r="P607">
            <v>7.4950000000000001</v>
          </cell>
        </row>
        <row r="608">
          <cell r="F608" t="str">
            <v>LL-25-3463</v>
          </cell>
          <cell r="G608" t="str">
            <v>Scented Palm Calms Plush - Rest &amp; Restore</v>
          </cell>
          <cell r="H608" t="str">
            <v>N</v>
          </cell>
          <cell r="I608" t="str">
            <v>662</v>
          </cell>
          <cell r="J608">
            <v>810076216621</v>
          </cell>
          <cell r="K608">
            <v>50810076216626</v>
          </cell>
          <cell r="L608">
            <v>30810076216622</v>
          </cell>
          <cell r="M608">
            <v>4</v>
          </cell>
          <cell r="N608">
            <v>16</v>
          </cell>
          <cell r="O608">
            <v>14.99</v>
          </cell>
          <cell r="P608">
            <v>7.4950000000000001</v>
          </cell>
        </row>
        <row r="609">
          <cell r="F609" t="str">
            <v>LL-25-3545</v>
          </cell>
          <cell r="G609" t="str">
            <v>Palm Calm #1 - TBD</v>
          </cell>
          <cell r="H609" t="str">
            <v>N</v>
          </cell>
          <cell r="I609" t="str">
            <v/>
          </cell>
          <cell r="J609"/>
          <cell r="K609"/>
          <cell r="L609"/>
          <cell r="M609"/>
          <cell r="N609"/>
          <cell r="O609">
            <v>14.99</v>
          </cell>
          <cell r="P609">
            <v>7.4950000000000001</v>
          </cell>
        </row>
        <row r="610">
          <cell r="F610" t="str">
            <v>LL-25-3546</v>
          </cell>
          <cell r="G610" t="str">
            <v>Palm Calm #2 - TBD</v>
          </cell>
          <cell r="H610" t="str">
            <v>N</v>
          </cell>
          <cell r="I610" t="str">
            <v/>
          </cell>
          <cell r="J610"/>
          <cell r="K610"/>
          <cell r="L610"/>
          <cell r="M610"/>
          <cell r="N610"/>
          <cell r="O610">
            <v>14.99</v>
          </cell>
          <cell r="P610">
            <v>7.4950000000000001</v>
          </cell>
        </row>
        <row r="611">
          <cell r="F611" t="str">
            <v>LL-25-3547</v>
          </cell>
          <cell r="G611" t="str">
            <v>Palm Calm #3 - TBD</v>
          </cell>
          <cell r="H611" t="str">
            <v>N</v>
          </cell>
          <cell r="I611" t="str">
            <v/>
          </cell>
          <cell r="J611"/>
          <cell r="K611"/>
          <cell r="L611"/>
          <cell r="M611"/>
          <cell r="N611"/>
          <cell r="O611">
            <v>14.99</v>
          </cell>
          <cell r="P611">
            <v>7.4950000000000001</v>
          </cell>
        </row>
        <row r="612">
          <cell r="F612" t="str">
            <v>LL-25-3598</v>
          </cell>
          <cell r="G612" t="str">
            <v>Palm Calm - Seasonal TBD</v>
          </cell>
          <cell r="H612" t="str">
            <v>N</v>
          </cell>
          <cell r="I612" t="str">
            <v/>
          </cell>
          <cell r="J612"/>
          <cell r="K612"/>
          <cell r="L612"/>
          <cell r="M612"/>
          <cell r="N612"/>
          <cell r="O612">
            <v>14.99</v>
          </cell>
          <cell r="P612">
            <v>7.4950000000000001</v>
          </cell>
        </row>
        <row r="613">
          <cell r="F613" t="str">
            <v>LL-25-3599</v>
          </cell>
          <cell r="G613" t="str">
            <v>Palm Calms Gift Set - 6Pck</v>
          </cell>
          <cell r="H613" t="str">
            <v>N</v>
          </cell>
          <cell r="I613" t="str">
            <v/>
          </cell>
          <cell r="O613">
            <v>29.99</v>
          </cell>
          <cell r="P613">
            <v>14.994999999999999</v>
          </cell>
        </row>
        <row r="614">
          <cell r="F614" t="str">
            <v>LL-25-3417</v>
          </cell>
          <cell r="G614" t="str">
            <v>Scented Palm Calms Non-Plush - #2</v>
          </cell>
          <cell r="H614" t="str">
            <v>N</v>
          </cell>
          <cell r="I614" t="str">
            <v>631</v>
          </cell>
          <cell r="J614">
            <v>810076216317</v>
          </cell>
          <cell r="K614">
            <v>50810076216312</v>
          </cell>
          <cell r="L614">
            <v>30810076216318</v>
          </cell>
          <cell r="M614">
            <v>4</v>
          </cell>
          <cell r="N614">
            <v>16</v>
          </cell>
          <cell r="O614">
            <v>14.99</v>
          </cell>
          <cell r="P614">
            <v>7.4950000000000001</v>
          </cell>
        </row>
        <row r="615">
          <cell r="F615" t="str">
            <v>LL-20-3513</v>
          </cell>
          <cell r="G615" t="str">
            <v>FlowArt: Mini - #1 WMT - SPECIAL BUY</v>
          </cell>
          <cell r="H615" t="str">
            <v>N</v>
          </cell>
          <cell r="I615" t="str">
            <v>712</v>
          </cell>
          <cell r="J615">
            <v>810076217123</v>
          </cell>
          <cell r="K615">
            <v>50810076217128</v>
          </cell>
          <cell r="L615">
            <v>30810076217124</v>
          </cell>
          <cell r="M615">
            <v>6</v>
          </cell>
          <cell r="N615">
            <v>24</v>
          </cell>
          <cell r="O615">
            <v>6.97</v>
          </cell>
          <cell r="P615">
            <v>3.4849999999999999</v>
          </cell>
        </row>
        <row r="616">
          <cell r="F616" t="str">
            <v>LL-20-3514</v>
          </cell>
          <cell r="G616" t="str">
            <v>FlowArt: Mini - #2 WMT - SPECIAL BUY</v>
          </cell>
          <cell r="H616" t="str">
            <v>N</v>
          </cell>
          <cell r="I616" t="str">
            <v>713</v>
          </cell>
          <cell r="J616">
            <v>810076217130</v>
          </cell>
          <cell r="K616">
            <v>50810076217135</v>
          </cell>
          <cell r="L616">
            <v>30810076217131</v>
          </cell>
          <cell r="M616">
            <v>6</v>
          </cell>
          <cell r="N616">
            <v>24</v>
          </cell>
          <cell r="O616">
            <v>6.97</v>
          </cell>
          <cell r="P616">
            <v>3.4849999999999999</v>
          </cell>
        </row>
        <row r="617">
          <cell r="F617" t="str">
            <v>LL-20-3501</v>
          </cell>
          <cell r="G617" t="str">
            <v>FlowArt: Mini DbL - #1 WMT</v>
          </cell>
          <cell r="H617" t="str">
            <v>N</v>
          </cell>
          <cell r="I617" t="str">
            <v>698</v>
          </cell>
          <cell r="J617">
            <v>810076216980</v>
          </cell>
          <cell r="K617">
            <v>50810076216985</v>
          </cell>
          <cell r="L617">
            <v>30810076216981</v>
          </cell>
          <cell r="M617">
            <v>6</v>
          </cell>
          <cell r="N617">
            <v>24</v>
          </cell>
          <cell r="O617">
            <v>6.97</v>
          </cell>
          <cell r="P617">
            <v>3.4849999999999999</v>
          </cell>
        </row>
        <row r="618">
          <cell r="F618" t="str">
            <v>LL-20-3502</v>
          </cell>
          <cell r="G618" t="str">
            <v>FlowArt: Mini DbL - #2 WMT</v>
          </cell>
          <cell r="H618" t="str">
            <v>N</v>
          </cell>
          <cell r="I618" t="str">
            <v>699</v>
          </cell>
          <cell r="J618">
            <v>810076216997</v>
          </cell>
          <cell r="K618">
            <v>50810076216992</v>
          </cell>
          <cell r="L618">
            <v>30810076216998</v>
          </cell>
          <cell r="M618">
            <v>6</v>
          </cell>
          <cell r="N618">
            <v>24</v>
          </cell>
          <cell r="O618">
            <v>6.97</v>
          </cell>
          <cell r="P618">
            <v>3.4849999999999999</v>
          </cell>
        </row>
        <row r="619">
          <cell r="F619" t="str">
            <v>LL-20-3503</v>
          </cell>
          <cell r="G619" t="str">
            <v>FlowArt: Mini TbL - #3 WMT</v>
          </cell>
          <cell r="H619" t="str">
            <v>N</v>
          </cell>
          <cell r="I619" t="str">
            <v>700</v>
          </cell>
          <cell r="J619">
            <v>810076217000</v>
          </cell>
          <cell r="K619">
            <v>50810076217005</v>
          </cell>
          <cell r="L619">
            <v>30810076217001</v>
          </cell>
          <cell r="M619">
            <v>6</v>
          </cell>
          <cell r="N619">
            <v>24</v>
          </cell>
          <cell r="O619">
            <v>6.97</v>
          </cell>
          <cell r="P619">
            <v>3.4849999999999999</v>
          </cell>
        </row>
        <row r="620">
          <cell r="F620" t="str">
            <v>LL-20-3551</v>
          </cell>
          <cell r="G620" t="str">
            <v>FlowArt: Walmart Exclusive Mini - TBD</v>
          </cell>
          <cell r="H620" t="str">
            <v>N</v>
          </cell>
          <cell r="I620" t="str">
            <v/>
          </cell>
          <cell r="O620">
            <v>6.97</v>
          </cell>
          <cell r="P620">
            <v>3.4849999999999999</v>
          </cell>
        </row>
        <row r="621">
          <cell r="F621" t="str">
            <v>LL-20-3504</v>
          </cell>
          <cell r="G621" t="str">
            <v>FlowArt: Mini TbL - #4 WMT</v>
          </cell>
          <cell r="H621" t="str">
            <v>N</v>
          </cell>
          <cell r="I621" t="str">
            <v>701</v>
          </cell>
          <cell r="J621">
            <v>810076217017</v>
          </cell>
          <cell r="K621">
            <v>50810076217012</v>
          </cell>
          <cell r="L621">
            <v>30810076217018</v>
          </cell>
          <cell r="M621">
            <v>6</v>
          </cell>
          <cell r="N621">
            <v>24</v>
          </cell>
          <cell r="O621">
            <v>6.97</v>
          </cell>
          <cell r="P621">
            <v>3.4849999999999999</v>
          </cell>
        </row>
        <row r="622">
          <cell r="F622" t="str">
            <v>LL-16-3505</v>
          </cell>
          <cell r="G622" t="str">
            <v>FlowArt: DbL  - #1 WMT</v>
          </cell>
          <cell r="H622" t="str">
            <v>N</v>
          </cell>
          <cell r="I622" t="str">
            <v>702</v>
          </cell>
          <cell r="J622">
            <v>810076217024</v>
          </cell>
          <cell r="K622">
            <v>50810076217029</v>
          </cell>
          <cell r="L622">
            <v>30810076217025</v>
          </cell>
          <cell r="M622">
            <v>4</v>
          </cell>
          <cell r="N622">
            <v>12</v>
          </cell>
          <cell r="O622">
            <v>9.94</v>
          </cell>
          <cell r="P622">
            <v>4.97</v>
          </cell>
        </row>
        <row r="623">
          <cell r="F623" t="str">
            <v>LL-16-3506</v>
          </cell>
          <cell r="G623" t="str">
            <v>FlowArt: DbL Metallic - #2 WMT</v>
          </cell>
          <cell r="H623" t="str">
            <v>N</v>
          </cell>
          <cell r="I623" t="str">
            <v>703</v>
          </cell>
          <cell r="J623">
            <v>810076217031</v>
          </cell>
          <cell r="K623">
            <v>50810076217036</v>
          </cell>
          <cell r="L623">
            <v>30810076217032</v>
          </cell>
          <cell r="M623">
            <v>4</v>
          </cell>
          <cell r="N623">
            <v>12</v>
          </cell>
          <cell r="O623">
            <v>9.94</v>
          </cell>
          <cell r="P623">
            <v>4.97</v>
          </cell>
        </row>
        <row r="624">
          <cell r="F624" t="str">
            <v>LL-16-3507</v>
          </cell>
          <cell r="G624" t="str">
            <v>FlowArt: Embroidery #3 - WMT</v>
          </cell>
          <cell r="H624" t="str">
            <v>N</v>
          </cell>
          <cell r="I624" t="str">
            <v>704</v>
          </cell>
          <cell r="J624">
            <v>810076217048</v>
          </cell>
          <cell r="K624">
            <v>50810076217043</v>
          </cell>
          <cell r="L624">
            <v>30810076217049</v>
          </cell>
          <cell r="M624">
            <v>4</v>
          </cell>
          <cell r="N624">
            <v>12</v>
          </cell>
          <cell r="O624">
            <v>9.94</v>
          </cell>
          <cell r="P624">
            <v>4.97</v>
          </cell>
        </row>
        <row r="625">
          <cell r="F625" t="str">
            <v>LL-16-3508</v>
          </cell>
          <cell r="G625" t="str">
            <v>FlowArt:  Stitch-by-Line - #4 WMT</v>
          </cell>
          <cell r="H625" t="str">
            <v>N</v>
          </cell>
          <cell r="I625" t="str">
            <v>705</v>
          </cell>
          <cell r="J625">
            <v>810076217055</v>
          </cell>
          <cell r="K625">
            <v>50810076217050</v>
          </cell>
          <cell r="L625">
            <v>30810076217056</v>
          </cell>
          <cell r="M625">
            <v>4</v>
          </cell>
          <cell r="N625">
            <v>12</v>
          </cell>
          <cell r="O625">
            <v>9.94</v>
          </cell>
          <cell r="P625">
            <v>4.97</v>
          </cell>
        </row>
        <row r="626">
          <cell r="F626" t="str">
            <v>LL-16-3509</v>
          </cell>
          <cell r="G626" t="str">
            <v>FlowArt: Color-by-Symbol, Mandala</v>
          </cell>
          <cell r="H626" t="str">
            <v>N</v>
          </cell>
          <cell r="I626" t="str">
            <v>706</v>
          </cell>
          <cell r="J626">
            <v>810076217062</v>
          </cell>
          <cell r="K626">
            <v>50810076217067</v>
          </cell>
          <cell r="L626">
            <v>30810076217063</v>
          </cell>
          <cell r="M626">
            <v>4</v>
          </cell>
          <cell r="N626">
            <v>12</v>
          </cell>
          <cell r="O626">
            <v>9.94</v>
          </cell>
          <cell r="P626">
            <v>4.97</v>
          </cell>
        </row>
        <row r="627">
          <cell r="F627" t="str">
            <v>LL-16-3510</v>
          </cell>
          <cell r="G627" t="str">
            <v>FlowArt: Color - #6 WMT</v>
          </cell>
          <cell r="H627" t="str">
            <v>N</v>
          </cell>
          <cell r="I627" t="str">
            <v>707</v>
          </cell>
          <cell r="J627">
            <v>810076217079</v>
          </cell>
          <cell r="K627">
            <v>50810076217074</v>
          </cell>
          <cell r="L627">
            <v>30810076217070</v>
          </cell>
          <cell r="M627">
            <v>4</v>
          </cell>
          <cell r="N627">
            <v>12</v>
          </cell>
          <cell r="O627">
            <v>9.94</v>
          </cell>
          <cell r="P627">
            <v>4.97</v>
          </cell>
        </row>
        <row r="628">
          <cell r="F628" t="str">
            <v>LL-16-3511</v>
          </cell>
          <cell r="G628" t="str">
            <v>FlowArt: TbL - #7 WMT</v>
          </cell>
          <cell r="H628" t="str">
            <v>N</v>
          </cell>
          <cell r="I628" t="str">
            <v>708</v>
          </cell>
          <cell r="J628">
            <v>810076217086</v>
          </cell>
          <cell r="K628">
            <v>50810076217081</v>
          </cell>
          <cell r="L628">
            <v>30810076217087</v>
          </cell>
          <cell r="M628">
            <v>4</v>
          </cell>
          <cell r="N628">
            <v>12</v>
          </cell>
          <cell r="O628">
            <v>9.94</v>
          </cell>
          <cell r="P628">
            <v>4.97</v>
          </cell>
        </row>
        <row r="629">
          <cell r="F629" t="str">
            <v>LL-11-1620</v>
          </cell>
          <cell r="G629" t="str">
            <v>Visual Plug In Diffuser - SKU 1</v>
          </cell>
          <cell r="H629" t="str">
            <v>N</v>
          </cell>
          <cell r="I629" t="str">
            <v>167</v>
          </cell>
          <cell r="J629">
            <v>810076211671</v>
          </cell>
          <cell r="K629" t="str">
            <v/>
          </cell>
          <cell r="L629" t="str">
            <v/>
          </cell>
          <cell r="M629"/>
          <cell r="N629"/>
          <cell r="O629">
            <v>24.99</v>
          </cell>
          <cell r="P629">
            <v>12.494999999999999</v>
          </cell>
        </row>
        <row r="630">
          <cell r="F630" t="str">
            <v>LL-26-3005</v>
          </cell>
          <cell r="G630" t="str">
            <v>Visual Plug In Diffuser - SKU 2</v>
          </cell>
          <cell r="H630" t="str">
            <v>N</v>
          </cell>
          <cell r="I630" t="str">
            <v>168</v>
          </cell>
          <cell r="J630">
            <v>810076211688</v>
          </cell>
          <cell r="K630" t="str">
            <v/>
          </cell>
          <cell r="L630" t="str">
            <v/>
          </cell>
          <cell r="M630"/>
          <cell r="N630"/>
          <cell r="O630">
            <v>24.99</v>
          </cell>
          <cell r="P630">
            <v>12.494999999999999</v>
          </cell>
        </row>
        <row r="631">
          <cell r="F631">
            <v>989514</v>
          </cell>
          <cell r="G631" t="str">
            <v>Pencil 10pk + In Bloom Pen Diffuser Bundle</v>
          </cell>
          <cell r="H631" t="str">
            <v>Y</v>
          </cell>
          <cell r="I631" t="str">
            <v/>
          </cell>
          <cell r="J631" t="str">
            <v/>
          </cell>
          <cell r="K631" t="str">
            <v/>
          </cell>
          <cell r="L631" t="str">
            <v/>
          </cell>
          <cell r="M631" t="str">
            <v/>
          </cell>
          <cell r="N631" t="str">
            <v/>
          </cell>
          <cell r="O631">
            <v>19.989999999999998</v>
          </cell>
          <cell r="P631">
            <v>9.9949999999999992</v>
          </cell>
        </row>
        <row r="632">
          <cell r="F632">
            <v>989525</v>
          </cell>
          <cell r="G632" t="str">
            <v>Lifelines Ocean Journal &amp; In Bloom Pen Diffuser</v>
          </cell>
          <cell r="H632" t="str">
            <v>N</v>
          </cell>
          <cell r="I632" t="str">
            <v>181</v>
          </cell>
          <cell r="J632">
            <v>810076211817</v>
          </cell>
          <cell r="K632" t="str">
            <v/>
          </cell>
          <cell r="L632" t="str">
            <v/>
          </cell>
          <cell r="N632">
            <v>24</v>
          </cell>
          <cell r="O632">
            <v>22.99</v>
          </cell>
          <cell r="P632">
            <v>11.494999999999999</v>
          </cell>
        </row>
        <row r="633">
          <cell r="F633" t="str">
            <v>11-2514-CP12</v>
          </cell>
          <cell r="G633" t="str">
            <v>Pen Diffuser with Essential Oil Blends - Herbal Garden</v>
          </cell>
          <cell r="H633" t="str">
            <v>Y</v>
          </cell>
          <cell r="I633" t="str">
            <v/>
          </cell>
          <cell r="J633" t="str">
            <v/>
          </cell>
          <cell r="K633">
            <v>60810076211208</v>
          </cell>
          <cell r="L633">
            <v>40810076211204</v>
          </cell>
          <cell r="M633">
            <v>4</v>
          </cell>
          <cell r="N633">
            <v>12</v>
          </cell>
          <cell r="O633">
            <v>12.99</v>
          </cell>
          <cell r="P633">
            <v>6.4950000000000001</v>
          </cell>
        </row>
        <row r="634">
          <cell r="F634" t="str">
            <v>11-2521-CP12</v>
          </cell>
          <cell r="G634" t="str">
            <v xml:space="preserve">Scented Lava Pen Set - 2-pack (Blue / Red) </v>
          </cell>
          <cell r="H634" t="str">
            <v>N</v>
          </cell>
          <cell r="I634" t="str">
            <v/>
          </cell>
          <cell r="J634" t="str">
            <v/>
          </cell>
          <cell r="K634">
            <v>60810076211222</v>
          </cell>
          <cell r="L634">
            <v>40810076211228</v>
          </cell>
          <cell r="M634">
            <v>4</v>
          </cell>
          <cell r="N634">
            <v>12</v>
          </cell>
          <cell r="O634">
            <v>12.99</v>
          </cell>
          <cell r="P634">
            <v>6.4950000000000001</v>
          </cell>
        </row>
        <row r="635">
          <cell r="F635" t="str">
            <v>11-2506-CP12</v>
          </cell>
          <cell r="G635" t="str">
            <v>Rub &amp; Sniff™ Scented Colored Pencils - 20-pack (Classic)</v>
          </cell>
          <cell r="H635" t="str">
            <v>N</v>
          </cell>
          <cell r="I635" t="str">
            <v/>
          </cell>
          <cell r="J635" t="str">
            <v/>
          </cell>
          <cell r="K635">
            <v>60810076210973</v>
          </cell>
          <cell r="L635">
            <v>40810076210979</v>
          </cell>
          <cell r="M635">
            <v>4</v>
          </cell>
          <cell r="N635">
            <v>12</v>
          </cell>
          <cell r="O635">
            <v>19.989999999999998</v>
          </cell>
          <cell r="P635">
            <v>9.9949999999999992</v>
          </cell>
        </row>
        <row r="636">
          <cell r="F636" t="str">
            <v>LL-99-3076</v>
          </cell>
          <cell r="G636" t="str">
            <v>Target Writing Sidecap Shipper (Spring 2025)</v>
          </cell>
          <cell r="H636" t="str">
            <v>N</v>
          </cell>
          <cell r="I636" t="str">
            <v>199</v>
          </cell>
          <cell r="J636">
            <v>810076211992</v>
          </cell>
          <cell r="K636">
            <v>50810076211997</v>
          </cell>
          <cell r="L636">
            <v>30810076211993</v>
          </cell>
          <cell r="M636"/>
          <cell r="N636"/>
        </row>
        <row r="637">
          <cell r="F637" t="str">
            <v>LL-99-3077</v>
          </cell>
          <cell r="G637" t="str">
            <v>Meijer Fast Track Display (Spring 2025)</v>
          </cell>
          <cell r="H637" t="str">
            <v>N</v>
          </cell>
          <cell r="I637" t="str">
            <v>200</v>
          </cell>
          <cell r="J637">
            <v>810076212005</v>
          </cell>
          <cell r="K637">
            <v>50810076212000</v>
          </cell>
          <cell r="L637">
            <v>30810076212006</v>
          </cell>
          <cell r="M637"/>
          <cell r="N637"/>
          <cell r="O637">
            <v>0</v>
          </cell>
          <cell r="P637">
            <v>0</v>
          </cell>
        </row>
        <row r="638">
          <cell r="F638" t="str">
            <v>LL-99-3089</v>
          </cell>
          <cell r="G638" t="str">
            <v>20 Pack Pencil Tray PDQ (Empty tray in box)</v>
          </cell>
          <cell r="H638" t="str">
            <v>N</v>
          </cell>
          <cell r="I638" t="str">
            <v>221</v>
          </cell>
          <cell r="J638">
            <v>810076212210</v>
          </cell>
          <cell r="K638">
            <v>50810076212215</v>
          </cell>
          <cell r="L638">
            <v>30810076212211</v>
          </cell>
          <cell r="M638"/>
          <cell r="N638"/>
          <cell r="O638">
            <v>0</v>
          </cell>
          <cell r="P638">
            <v>0</v>
          </cell>
        </row>
        <row r="639">
          <cell r="F639" t="str">
            <v>LL-99-3090</v>
          </cell>
          <cell r="G639" t="str">
            <v>Universal Pen/Pencil PGQ (Empty tray in box)</v>
          </cell>
          <cell r="H639" t="str">
            <v>N</v>
          </cell>
          <cell r="I639" t="str">
            <v>222</v>
          </cell>
          <cell r="J639">
            <v>810076212227</v>
          </cell>
          <cell r="K639">
            <v>50810076212222</v>
          </cell>
          <cell r="L639">
            <v>30810076212228</v>
          </cell>
          <cell r="M639"/>
          <cell r="N639"/>
          <cell r="O639">
            <v>0</v>
          </cell>
          <cell r="P639">
            <v>0</v>
          </cell>
        </row>
        <row r="640">
          <cell r="F640" t="str">
            <v>LL-12-3161</v>
          </cell>
          <cell r="G640" t="str">
            <v>Writing Bundle [2x Lava Pen / Maze /  Highlighter] - Blue</v>
          </cell>
          <cell r="H640" t="str">
            <v>Y</v>
          </cell>
          <cell r="I640" t="str">
            <v>304</v>
          </cell>
          <cell r="J640">
            <v>810076213040</v>
          </cell>
          <cell r="K640">
            <v>50810076213045</v>
          </cell>
          <cell r="L640">
            <v>30810076213041</v>
          </cell>
          <cell r="M640">
            <v>4</v>
          </cell>
          <cell r="N640">
            <v>12</v>
          </cell>
          <cell r="O640">
            <v>19.989999999999998</v>
          </cell>
          <cell r="P640">
            <v>9.9949999999999992</v>
          </cell>
        </row>
        <row r="641">
          <cell r="F641" t="str">
            <v>LL-12-3172</v>
          </cell>
          <cell r="G641" t="str">
            <v>Writing Bundle [2x Lava Pen / Maze /  Highlighter] - Dusty Pink</v>
          </cell>
          <cell r="H641" t="str">
            <v>Y</v>
          </cell>
          <cell r="I641" t="str">
            <v>316</v>
          </cell>
          <cell r="J641">
            <v>810076213163</v>
          </cell>
          <cell r="K641">
            <v>50810076213168</v>
          </cell>
          <cell r="L641">
            <v>30810076213164</v>
          </cell>
          <cell r="M641">
            <v>4</v>
          </cell>
          <cell r="N641">
            <v>12</v>
          </cell>
          <cell r="O641">
            <v>19.989999999999998</v>
          </cell>
          <cell r="P641">
            <v>9.9949999999999992</v>
          </cell>
        </row>
        <row r="642">
          <cell r="F642" t="str">
            <v>LL-12-3196</v>
          </cell>
          <cell r="G642" t="str">
            <v>Writing Bundle [2x Lava Pen / Papaya /  Highlighter]</v>
          </cell>
          <cell r="H642" t="str">
            <v>Y</v>
          </cell>
          <cell r="I642" t="str">
            <v>366</v>
          </cell>
          <cell r="J642">
            <v>810076213668</v>
          </cell>
          <cell r="K642">
            <v>50810076213663</v>
          </cell>
          <cell r="L642">
            <v>30810076213669</v>
          </cell>
          <cell r="M642">
            <v>4</v>
          </cell>
          <cell r="N642">
            <v>12</v>
          </cell>
          <cell r="O642">
            <v>19.989999999999998</v>
          </cell>
          <cell r="P642">
            <v>9.9949999999999992</v>
          </cell>
        </row>
        <row r="643">
          <cell r="F643" t="str">
            <v>LL-12-3197</v>
          </cell>
          <cell r="G643" t="str">
            <v>Writing Bundle [2x Lava Pen / Gumball /  Highlighter]</v>
          </cell>
          <cell r="H643" t="str">
            <v>Y</v>
          </cell>
          <cell r="I643" t="str">
            <v>367</v>
          </cell>
          <cell r="J643">
            <v>810076213675</v>
          </cell>
          <cell r="K643">
            <v>50810076213670</v>
          </cell>
          <cell r="L643">
            <v>30810076213676</v>
          </cell>
          <cell r="M643">
            <v>4</v>
          </cell>
          <cell r="N643">
            <v>12</v>
          </cell>
          <cell r="O643">
            <v>19.989999999999998</v>
          </cell>
          <cell r="P643">
            <v>9.9949999999999992</v>
          </cell>
        </row>
        <row r="644">
          <cell r="F644" t="str">
            <v>LL-12-3215</v>
          </cell>
          <cell r="G644" t="str">
            <v>Writing Bundle [2x Lava Pen / Patch /  Highlighter] - Cozy Thoughts</v>
          </cell>
          <cell r="H644" t="str">
            <v>N</v>
          </cell>
          <cell r="I644" t="str">
            <v>387</v>
          </cell>
          <cell r="J644">
            <v>810076213873</v>
          </cell>
          <cell r="K644">
            <v>50810076213878</v>
          </cell>
          <cell r="L644">
            <v>30810076213874</v>
          </cell>
          <cell r="M644">
            <v>4</v>
          </cell>
          <cell r="N644">
            <v>12</v>
          </cell>
          <cell r="O644">
            <v>21.99</v>
          </cell>
          <cell r="P644">
            <v>10.994999999999999</v>
          </cell>
        </row>
        <row r="645">
          <cell r="F645" t="str">
            <v>LL-12-3216</v>
          </cell>
          <cell r="G645" t="str">
            <v>Writing Bundle [2x Lava Pen / Patch] - Express Yourshelf</v>
          </cell>
          <cell r="H645" t="str">
            <v>Y</v>
          </cell>
          <cell r="I645" t="str">
            <v>388</v>
          </cell>
          <cell r="J645">
            <v>810076213880</v>
          </cell>
          <cell r="K645">
            <v>50810076213885</v>
          </cell>
          <cell r="L645">
            <v>30810076213881</v>
          </cell>
          <cell r="M645">
            <v>4</v>
          </cell>
          <cell r="N645">
            <v>12</v>
          </cell>
          <cell r="O645">
            <v>21.99</v>
          </cell>
          <cell r="P645">
            <v>10.994999999999999</v>
          </cell>
        </row>
        <row r="646">
          <cell r="F646" t="str">
            <v>LL-12-3330</v>
          </cell>
          <cell r="G646" t="str">
            <v>Writing Bundle [2x Lava Pen / Patch ] - Flowers</v>
          </cell>
          <cell r="H646" t="str">
            <v>N</v>
          </cell>
          <cell r="I646" t="str">
            <v>524</v>
          </cell>
          <cell r="J646">
            <v>810076215242</v>
          </cell>
          <cell r="K646">
            <v>50810076215247</v>
          </cell>
          <cell r="L646">
            <v>30810076215243</v>
          </cell>
          <cell r="M646">
            <v>4</v>
          </cell>
          <cell r="N646">
            <v>12</v>
          </cell>
          <cell r="O646">
            <v>19.989999999999998</v>
          </cell>
          <cell r="P646">
            <v>9.9949999999999992</v>
          </cell>
        </row>
        <row r="647">
          <cell r="F647" t="str">
            <v>LL-12-3331</v>
          </cell>
          <cell r="G647" t="str">
            <v>Writing Bundle [2x Lava Pen / Patch ] - Stacking Stones</v>
          </cell>
          <cell r="H647" t="str">
            <v>N</v>
          </cell>
          <cell r="I647" t="str">
            <v>525</v>
          </cell>
          <cell r="J647">
            <v>810076215259</v>
          </cell>
          <cell r="K647">
            <v>50810076215254</v>
          </cell>
          <cell r="L647">
            <v>30810076215250</v>
          </cell>
          <cell r="M647">
            <v>4</v>
          </cell>
          <cell r="N647">
            <v>12</v>
          </cell>
          <cell r="O647">
            <v>19.989999999999998</v>
          </cell>
          <cell r="P647">
            <v>9.9949999999999992</v>
          </cell>
        </row>
        <row r="648">
          <cell r="F648" t="str">
            <v>LL-12-3332</v>
          </cell>
          <cell r="G648" t="str">
            <v>Writing Bundle [2x Lava Pen / Patch ] - Quilts</v>
          </cell>
          <cell r="H648" t="str">
            <v>N</v>
          </cell>
          <cell r="I648" t="str">
            <v>526</v>
          </cell>
          <cell r="J648">
            <v>810076215266</v>
          </cell>
          <cell r="K648">
            <v>50810076215261</v>
          </cell>
          <cell r="L648">
            <v>30810076215267</v>
          </cell>
          <cell r="M648">
            <v>4</v>
          </cell>
          <cell r="N648">
            <v>12</v>
          </cell>
          <cell r="O648">
            <v>19.989999999999998</v>
          </cell>
          <cell r="P648">
            <v>9.9949999999999992</v>
          </cell>
        </row>
        <row r="649">
          <cell r="F649" t="str">
            <v>LL-12-3479</v>
          </cell>
          <cell r="G649" t="str">
            <v>Ebb &amp; Flow Journal + Pen Gift Set</v>
          </cell>
          <cell r="H649" t="str">
            <v>N</v>
          </cell>
          <cell r="I649" t="str">
            <v>663</v>
          </cell>
          <cell r="J649">
            <v>810076216638</v>
          </cell>
          <cell r="K649">
            <v>50810076216633</v>
          </cell>
          <cell r="L649">
            <v>30810076216639</v>
          </cell>
          <cell r="M649">
            <v>2</v>
          </cell>
          <cell r="N649">
            <v>8</v>
          </cell>
          <cell r="O649">
            <v>19.989999999999998</v>
          </cell>
          <cell r="P649">
            <v>9.9949999999999992</v>
          </cell>
        </row>
        <row r="650">
          <cell r="F650" t="str">
            <v>LL-12-3597</v>
          </cell>
          <cell r="G650" t="str">
            <v>Sensory Journal - TBD</v>
          </cell>
          <cell r="H650" t="str">
            <v>N</v>
          </cell>
          <cell r="I650" t="str">
            <v/>
          </cell>
          <cell r="O650">
            <v>12.99</v>
          </cell>
          <cell r="P650">
            <v>6.4950000000000001</v>
          </cell>
        </row>
        <row r="651">
          <cell r="F651" t="str">
            <v>LL-98-3221</v>
          </cell>
          <cell r="G651" t="str">
            <v>Bead Journal Bundle - Papaya &amp; Gumball - AMZ</v>
          </cell>
          <cell r="H651" t="str">
            <v>Y</v>
          </cell>
          <cell r="I651" t="str">
            <v>393</v>
          </cell>
          <cell r="J651">
            <v>810076213934</v>
          </cell>
          <cell r="K651">
            <v>50810076213939</v>
          </cell>
          <cell r="L651">
            <v>30810076213935</v>
          </cell>
          <cell r="M651">
            <v>4</v>
          </cell>
          <cell r="N651">
            <v>12</v>
          </cell>
          <cell r="O651">
            <v>19.989999999999998</v>
          </cell>
          <cell r="P651">
            <v>9.9949999999999992</v>
          </cell>
        </row>
        <row r="652">
          <cell r="F652" t="str">
            <v>LL-20-3329</v>
          </cell>
          <cell r="G652" t="str">
            <v>Lifelines Digital Detox Kit - 2026</v>
          </cell>
          <cell r="H652" t="str">
            <v>Y</v>
          </cell>
          <cell r="I652" t="str">
            <v>523</v>
          </cell>
          <cell r="J652">
            <v>810076215235</v>
          </cell>
          <cell r="K652">
            <v>50810076215230</v>
          </cell>
          <cell r="L652">
            <v>30810076215236</v>
          </cell>
          <cell r="M652">
            <v>4</v>
          </cell>
          <cell r="N652">
            <v>12</v>
          </cell>
          <cell r="O652">
            <v>29.99</v>
          </cell>
          <cell r="P652">
            <v>14.994999999999999</v>
          </cell>
        </row>
        <row r="653">
          <cell r="F653" t="str">
            <v>LL-20-3492</v>
          </cell>
          <cell r="G653" t="str">
            <v>Lifelines Digital Detox Kit - 2026 - OP</v>
          </cell>
          <cell r="H653" t="str">
            <v>Y</v>
          </cell>
          <cell r="I653" t="str">
            <v>675</v>
          </cell>
          <cell r="J653">
            <v>810076216751</v>
          </cell>
          <cell r="K653">
            <v>50810076216756</v>
          </cell>
          <cell r="L653">
            <v>30810076216752</v>
          </cell>
          <cell r="M653">
            <v>4</v>
          </cell>
          <cell r="N653">
            <v>12</v>
          </cell>
          <cell r="O653">
            <v>29.99</v>
          </cell>
          <cell r="P653">
            <v>14.994999999999999</v>
          </cell>
        </row>
        <row r="654">
          <cell r="F654" t="str">
            <v>LL-12-3212</v>
          </cell>
          <cell r="G654" t="str">
            <v>Scented Sticky Notes</v>
          </cell>
          <cell r="H654" t="str">
            <v>N</v>
          </cell>
          <cell r="I654" t="str">
            <v>384</v>
          </cell>
          <cell r="J654">
            <v>810076213842</v>
          </cell>
          <cell r="K654">
            <v>50810076213847</v>
          </cell>
          <cell r="L654">
            <v>30810076213843</v>
          </cell>
          <cell r="O654">
            <v>12.99</v>
          </cell>
          <cell r="P654">
            <v>6.4950000000000001</v>
          </cell>
        </row>
        <row r="655">
          <cell r="F655" t="str">
            <v>LL-98-3167</v>
          </cell>
          <cell r="G655" t="str">
            <v>Tracing Art Pads (2) with Colored Pencils (14)</v>
          </cell>
          <cell r="H655" t="str">
            <v>Y</v>
          </cell>
          <cell r="I655" t="str">
            <v>308</v>
          </cell>
          <cell r="J655">
            <v>810076213088</v>
          </cell>
          <cell r="K655">
            <v>50810076213083</v>
          </cell>
          <cell r="L655">
            <v>30810076213089</v>
          </cell>
          <cell r="M655">
            <v>4</v>
          </cell>
          <cell r="N655">
            <v>12</v>
          </cell>
          <cell r="O655">
            <v>19.989999999999998</v>
          </cell>
          <cell r="P655">
            <v>9.9949999999999992</v>
          </cell>
        </row>
        <row r="656">
          <cell r="F656" t="str">
            <v>LL-98-3465</v>
          </cell>
          <cell r="G656" t="str">
            <v>Everyday Calm – Cottage Charm</v>
          </cell>
          <cell r="H656" t="str">
            <v>Y</v>
          </cell>
          <cell r="I656" t="str">
            <v>684</v>
          </cell>
          <cell r="J656">
            <v>810076216843</v>
          </cell>
          <cell r="K656">
            <v>50810076216848</v>
          </cell>
          <cell r="L656">
            <v>30810076216844</v>
          </cell>
          <cell r="M656"/>
          <cell r="N656"/>
          <cell r="O656">
            <v>29.99</v>
          </cell>
          <cell r="P656"/>
        </row>
        <row r="657">
          <cell r="F657" t="str">
            <v>LL-98-3466</v>
          </cell>
          <cell r="G657" t="str">
            <v>Everyday Calm – Creature Comforts</v>
          </cell>
          <cell r="H657" t="str">
            <v>Y</v>
          </cell>
          <cell r="I657" t="str">
            <v>685</v>
          </cell>
          <cell r="J657">
            <v>810076216850</v>
          </cell>
          <cell r="K657">
            <v>50810076216855</v>
          </cell>
          <cell r="L657">
            <v>30810076216851</v>
          </cell>
          <cell r="M657"/>
          <cell r="N657"/>
          <cell r="O657">
            <v>29.99</v>
          </cell>
          <cell r="P657"/>
        </row>
        <row r="658">
          <cell r="F658" t="str">
            <v>LL-98-3467</v>
          </cell>
          <cell r="G658" t="str">
            <v>Everyday Calm – Coastal Escape</v>
          </cell>
          <cell r="H658" t="str">
            <v>Y</v>
          </cell>
          <cell r="I658" t="str">
            <v>686</v>
          </cell>
          <cell r="J658">
            <v>810076216867</v>
          </cell>
          <cell r="K658">
            <v>50810076216862</v>
          </cell>
          <cell r="L658">
            <v>30810076216868</v>
          </cell>
          <cell r="M658"/>
          <cell r="N658"/>
          <cell r="O658">
            <v>29.99</v>
          </cell>
          <cell r="P658"/>
        </row>
        <row r="659">
          <cell r="F659" t="str">
            <v>LL-98-3468</v>
          </cell>
          <cell r="G659" t="str">
            <v>Mini to the Max</v>
          </cell>
          <cell r="H659" t="str">
            <v>Y</v>
          </cell>
          <cell r="I659" t="str">
            <v>687</v>
          </cell>
          <cell r="J659">
            <v>810076216874</v>
          </cell>
          <cell r="K659">
            <v>50810076216879</v>
          </cell>
          <cell r="L659">
            <v>30810076216875</v>
          </cell>
          <cell r="M659"/>
          <cell r="N659"/>
          <cell r="O659">
            <v>29.99</v>
          </cell>
          <cell r="P659"/>
        </row>
        <row r="660">
          <cell r="F660" t="str">
            <v>LL-98-3469</v>
          </cell>
          <cell r="G660" t="str">
            <v>The Calm Collection – In Full Bloom</v>
          </cell>
          <cell r="H660" t="str">
            <v>Y</v>
          </cell>
          <cell r="I660" t="str">
            <v>688</v>
          </cell>
          <cell r="J660">
            <v>810076216881</v>
          </cell>
          <cell r="K660">
            <v>50810076216886</v>
          </cell>
          <cell r="L660">
            <v>30810076216882</v>
          </cell>
          <cell r="M660"/>
          <cell r="N660"/>
          <cell r="O660">
            <v>39.99</v>
          </cell>
          <cell r="P660"/>
        </row>
        <row r="661">
          <cell r="F661" t="str">
            <v>LL-98-3470</v>
          </cell>
          <cell r="G661" t="str">
            <v>The Calm Collection – Earthly Wonders</v>
          </cell>
          <cell r="H661" t="str">
            <v>Y</v>
          </cell>
          <cell r="I661" t="str">
            <v>689</v>
          </cell>
          <cell r="J661">
            <v>810076216898</v>
          </cell>
          <cell r="K661">
            <v>50810076216893</v>
          </cell>
          <cell r="L661">
            <v>30810076216899</v>
          </cell>
          <cell r="M661"/>
          <cell r="N661"/>
          <cell r="O661">
            <v>39.99</v>
          </cell>
          <cell r="P661"/>
        </row>
        <row r="662">
          <cell r="F662" t="str">
            <v>LL-98-3471</v>
          </cell>
          <cell r="G662" t="str">
            <v>The Calm Collection – Merry Moments</v>
          </cell>
          <cell r="H662" t="str">
            <v>Y</v>
          </cell>
          <cell r="I662" t="str">
            <v>690</v>
          </cell>
          <cell r="J662">
            <v>810076216904</v>
          </cell>
          <cell r="K662">
            <v>50810076216909</v>
          </cell>
          <cell r="L662">
            <v>30810076216905</v>
          </cell>
          <cell r="M662"/>
          <cell r="N662"/>
          <cell r="O662">
            <v>39.99</v>
          </cell>
          <cell r="P662"/>
        </row>
        <row r="663">
          <cell r="F663" t="str">
            <v>LL-98-3472</v>
          </cell>
          <cell r="G663" t="str">
            <v>The Calm Collection – Happy Places</v>
          </cell>
          <cell r="H663" t="str">
            <v>N</v>
          </cell>
          <cell r="I663" t="str">
            <v>691</v>
          </cell>
          <cell r="J663">
            <v>810076216911</v>
          </cell>
          <cell r="K663">
            <v>50810076216916</v>
          </cell>
          <cell r="L663">
            <v>30810076216912</v>
          </cell>
          <cell r="M663"/>
          <cell r="N663"/>
          <cell r="O663">
            <v>39.99</v>
          </cell>
          <cell r="P663"/>
        </row>
        <row r="664">
          <cell r="F664" t="str">
            <v>LL-98-3473</v>
          </cell>
          <cell r="G664" t="str">
            <v>The Art of Calm – Beautiful Horizons</v>
          </cell>
          <cell r="H664" t="str">
            <v>Y</v>
          </cell>
          <cell r="I664" t="str">
            <v>692</v>
          </cell>
          <cell r="J664">
            <v>810076216928</v>
          </cell>
          <cell r="K664">
            <v>50810076216923</v>
          </cell>
          <cell r="L664">
            <v>30810076216929</v>
          </cell>
          <cell r="M664"/>
          <cell r="N664"/>
          <cell r="O664">
            <v>49.99</v>
          </cell>
          <cell r="P664"/>
        </row>
        <row r="665">
          <cell r="F665" t="str">
            <v>LL-98-3474</v>
          </cell>
          <cell r="G665" t="str">
            <v>The Art of Calm – Worlds Away</v>
          </cell>
          <cell r="H665" t="str">
            <v>Y</v>
          </cell>
          <cell r="I665" t="str">
            <v>693</v>
          </cell>
          <cell r="J665">
            <v>810076216935</v>
          </cell>
          <cell r="K665">
            <v>50810076216930</v>
          </cell>
          <cell r="L665">
            <v>30810076216936</v>
          </cell>
          <cell r="M665"/>
          <cell r="N665"/>
          <cell r="O665">
            <v>49.99</v>
          </cell>
          <cell r="P665"/>
        </row>
        <row r="666">
          <cell r="F666" t="str">
            <v>LL-98-3528</v>
          </cell>
          <cell r="G666" t="str">
            <v>The Art of Calm – Petals &amp; Patterns</v>
          </cell>
          <cell r="H666" t="str">
            <v>Y</v>
          </cell>
          <cell r="I666" t="str">
            <v>731</v>
          </cell>
          <cell r="J666">
            <v>810076217314</v>
          </cell>
          <cell r="K666">
            <v>50810076217319</v>
          </cell>
          <cell r="L666">
            <v>30810076217315</v>
          </cell>
          <cell r="M666"/>
          <cell r="N666"/>
          <cell r="O666">
            <v>49.99</v>
          </cell>
          <cell r="P666"/>
        </row>
        <row r="667">
          <cell r="F667" t="str">
            <v>LL-98-3529</v>
          </cell>
          <cell r="G667" t="str">
            <v>The Best of Flow Collection - Wild at Heart</v>
          </cell>
          <cell r="H667" t="str">
            <v>Y</v>
          </cell>
          <cell r="I667" t="str">
            <v>732</v>
          </cell>
          <cell r="J667">
            <v>810076217321</v>
          </cell>
          <cell r="K667">
            <v>50810076217326</v>
          </cell>
          <cell r="L667">
            <v>30810076217322</v>
          </cell>
          <cell r="M667"/>
          <cell r="N667"/>
          <cell r="O667">
            <v>79.989999999999995</v>
          </cell>
        </row>
        <row r="668">
          <cell r="F668" t="str">
            <v>LL-98-3478</v>
          </cell>
          <cell r="G668" t="str">
            <v>The Write State of Mind</v>
          </cell>
          <cell r="H668" t="str">
            <v>N</v>
          </cell>
          <cell r="I668" t="str">
            <v>697</v>
          </cell>
          <cell r="J668">
            <v>810076216973</v>
          </cell>
          <cell r="K668">
            <v>50810076216978</v>
          </cell>
          <cell r="L668">
            <v>30810076216974</v>
          </cell>
          <cell r="M668"/>
          <cell r="N668"/>
          <cell r="O668">
            <v>99.99</v>
          </cell>
        </row>
        <row r="669">
          <cell r="F669" t="str">
            <v>LL-98-3475</v>
          </cell>
          <cell r="G669" t="str">
            <v>The Best of Lifelines</v>
          </cell>
          <cell r="H669" t="str">
            <v>Y</v>
          </cell>
          <cell r="I669" t="str">
            <v>694</v>
          </cell>
          <cell r="J669">
            <v>810076216942</v>
          </cell>
          <cell r="K669">
            <v>50810076216947</v>
          </cell>
          <cell r="L669">
            <v>30810076216943</v>
          </cell>
          <cell r="M669"/>
          <cell r="N669"/>
          <cell r="O669">
            <v>79.989999999999995</v>
          </cell>
        </row>
        <row r="670">
          <cell r="F670" t="str">
            <v>LL-98-3476</v>
          </cell>
          <cell r="G670" t="str">
            <v>The Ultimate Unwind</v>
          </cell>
          <cell r="H670" t="str">
            <v>Y</v>
          </cell>
          <cell r="I670" t="str">
            <v>695</v>
          </cell>
          <cell r="J670">
            <v>810076216959</v>
          </cell>
          <cell r="K670">
            <v>50810076216954</v>
          </cell>
          <cell r="L670">
            <v>30810076216950</v>
          </cell>
          <cell r="M670"/>
          <cell r="N670"/>
          <cell r="O670">
            <v>99.99</v>
          </cell>
        </row>
        <row r="671">
          <cell r="F671" t="str">
            <v>LL-98-3477</v>
          </cell>
          <cell r="G671" t="str">
            <v>The Scent of Calm</v>
          </cell>
          <cell r="H671" t="str">
            <v>N</v>
          </cell>
          <cell r="I671" t="str">
            <v>696</v>
          </cell>
          <cell r="J671">
            <v>810076216966</v>
          </cell>
          <cell r="K671">
            <v>50810076216961</v>
          </cell>
          <cell r="L671">
            <v>30810076216967</v>
          </cell>
          <cell r="M671"/>
          <cell r="N671"/>
          <cell r="O671">
            <v>79.989999999999995</v>
          </cell>
          <cell r="P671"/>
        </row>
        <row r="672">
          <cell r="F672" t="str">
            <v>LL-98-3600</v>
          </cell>
          <cell r="G672" t="str">
            <v>Analog Bag #1</v>
          </cell>
          <cell r="H672" t="str">
            <v>N</v>
          </cell>
          <cell r="I672" t="str">
            <v/>
          </cell>
        </row>
        <row r="673">
          <cell r="F673" t="str">
            <v>LL-98-3601</v>
          </cell>
          <cell r="G673" t="str">
            <v>Analog Bag #2</v>
          </cell>
          <cell r="H673" t="str">
            <v>N</v>
          </cell>
          <cell r="I673" t="str">
            <v/>
          </cell>
        </row>
        <row r="674">
          <cell r="F674" t="str">
            <v>LL-98-3602</v>
          </cell>
          <cell r="G674" t="str">
            <v>Analog Bag #3</v>
          </cell>
          <cell r="H674" t="str">
            <v>N</v>
          </cell>
          <cell r="I674" t="str">
            <v/>
          </cell>
          <cell r="J674"/>
          <cell r="K674"/>
          <cell r="L674"/>
          <cell r="M674"/>
          <cell r="N674"/>
          <cell r="O674"/>
          <cell r="P674"/>
        </row>
        <row r="675">
          <cell r="F675" t="str">
            <v>LL-12-3132</v>
          </cell>
          <cell r="G675" t="str">
            <v>Scented Lava Pen Set - 2-pack (Pink / Purple)  - WALMART PKG</v>
          </cell>
          <cell r="H675" t="str">
            <v>Y</v>
          </cell>
          <cell r="I675" t="str">
            <v>275</v>
          </cell>
          <cell r="J675">
            <v>810076212753</v>
          </cell>
          <cell r="K675">
            <v>50810076212758</v>
          </cell>
          <cell r="L675">
            <v>30810076212754</v>
          </cell>
          <cell r="M675">
            <v>6</v>
          </cell>
          <cell r="N675">
            <v>12</v>
          </cell>
          <cell r="O675">
            <v>9.94</v>
          </cell>
          <cell r="P675">
            <v>4.97</v>
          </cell>
        </row>
        <row r="676">
          <cell r="F676" t="str">
            <v>LL-12-3132-V2</v>
          </cell>
          <cell r="G676" t="str">
            <v>Scented Lava Pen Set - 2-pack (Pink / Purple)  - WALMART PKG</v>
          </cell>
          <cell r="H676" t="str">
            <v>N</v>
          </cell>
          <cell r="I676" t="str">
            <v/>
          </cell>
          <cell r="K676">
            <v>60810076212755</v>
          </cell>
          <cell r="L676">
            <v>40810076212751</v>
          </cell>
          <cell r="M676">
            <v>6</v>
          </cell>
          <cell r="N676">
            <v>12</v>
          </cell>
          <cell r="O676">
            <v>9.94</v>
          </cell>
          <cell r="P676">
            <v>4.97</v>
          </cell>
        </row>
        <row r="677">
          <cell r="F677" t="str">
            <v>LL-12-3133</v>
          </cell>
          <cell r="G677" t="str">
            <v>Scented Lava Pen Set - 2-pack (Blue / Green)  - WALMART PKG</v>
          </cell>
          <cell r="H677" t="str">
            <v>Y</v>
          </cell>
          <cell r="I677" t="str">
            <v>276</v>
          </cell>
          <cell r="J677">
            <v>810076212760</v>
          </cell>
          <cell r="K677">
            <v>50810076212765</v>
          </cell>
          <cell r="L677">
            <v>30810076212761</v>
          </cell>
          <cell r="M677">
            <v>6</v>
          </cell>
          <cell r="N677">
            <v>12</v>
          </cell>
          <cell r="O677">
            <v>9.94</v>
          </cell>
          <cell r="P677">
            <v>4.97</v>
          </cell>
        </row>
        <row r="678">
          <cell r="F678" t="str">
            <v>LL-12-3136</v>
          </cell>
          <cell r="G678" t="str">
            <v>Pen Diffuser with Essential Oil Blends -  Spiced Chai Latte - WALMART PKG</v>
          </cell>
          <cell r="H678" t="str">
            <v>Y</v>
          </cell>
          <cell r="I678" t="str">
            <v>279</v>
          </cell>
          <cell r="J678">
            <v>810076212791</v>
          </cell>
          <cell r="K678">
            <v>50810076212796</v>
          </cell>
          <cell r="L678">
            <v>30810076212792</v>
          </cell>
          <cell r="M678">
            <v>6</v>
          </cell>
          <cell r="N678">
            <v>18</v>
          </cell>
          <cell r="O678">
            <v>8.9600000000000009</v>
          </cell>
          <cell r="P678">
            <v>4.4800000000000004</v>
          </cell>
        </row>
        <row r="679">
          <cell r="F679" t="str">
            <v>LL-12-3137</v>
          </cell>
          <cell r="G679" t="str">
            <v>Pen Diffuser with Essential Oil Blends - In Bloom - WALMART PKG</v>
          </cell>
          <cell r="H679" t="str">
            <v>Y</v>
          </cell>
          <cell r="I679" t="str">
            <v>280</v>
          </cell>
          <cell r="J679">
            <v>810076212807</v>
          </cell>
          <cell r="K679">
            <v>50810076212802</v>
          </cell>
          <cell r="L679">
            <v>30810076212808</v>
          </cell>
          <cell r="M679">
            <v>6</v>
          </cell>
          <cell r="N679">
            <v>18</v>
          </cell>
          <cell r="O679">
            <v>8.9600000000000009</v>
          </cell>
          <cell r="P679">
            <v>4.4800000000000004</v>
          </cell>
        </row>
        <row r="680">
          <cell r="F680" t="str">
            <v>LL-12-3138</v>
          </cell>
          <cell r="G680" t="str">
            <v>Rub &amp; Sniff™ Scented Colored Pencils - 10-pack (Classic Palette) - WALMART PKG</v>
          </cell>
          <cell r="H680" t="str">
            <v>Y</v>
          </cell>
          <cell r="I680" t="str">
            <v>281</v>
          </cell>
          <cell r="J680">
            <v>810076212814</v>
          </cell>
          <cell r="K680">
            <v>50810076212819</v>
          </cell>
          <cell r="L680">
            <v>30810076212815</v>
          </cell>
          <cell r="M680">
            <v>4</v>
          </cell>
          <cell r="N680">
            <v>12</v>
          </cell>
          <cell r="O680">
            <v>9.94</v>
          </cell>
          <cell r="P680">
            <v>4.97</v>
          </cell>
        </row>
        <row r="681">
          <cell r="F681" t="str">
            <v>LL-12-3139</v>
          </cell>
          <cell r="G681" t="str">
            <v>Writing Bundle [2x Lava Pen / Journal / Highlighter] - WALMART PKG</v>
          </cell>
          <cell r="H681" t="str">
            <v>Y</v>
          </cell>
          <cell r="I681" t="str">
            <v>282</v>
          </cell>
          <cell r="J681">
            <v>810076212821</v>
          </cell>
          <cell r="K681">
            <v>50810076212826</v>
          </cell>
          <cell r="L681">
            <v>30810076212822</v>
          </cell>
          <cell r="M681">
            <v>2</v>
          </cell>
          <cell r="N681">
            <v>8</v>
          </cell>
          <cell r="O681">
            <v>19.77</v>
          </cell>
          <cell r="P681">
            <v>9.8849999999999998</v>
          </cell>
        </row>
        <row r="682">
          <cell r="F682" t="str">
            <v>LL-16-3193</v>
          </cell>
          <cell r="G682" t="str">
            <v>FlowArt: Pogo-Dot, Nature - WALMART PKG</v>
          </cell>
          <cell r="H682" t="str">
            <v>Y</v>
          </cell>
          <cell r="I682" t="str">
            <v>339</v>
          </cell>
          <cell r="J682">
            <v>810076213392</v>
          </cell>
          <cell r="K682">
            <v>50810076213397</v>
          </cell>
          <cell r="L682">
            <v>30810076213393</v>
          </cell>
          <cell r="M682">
            <v>4</v>
          </cell>
          <cell r="N682">
            <v>32</v>
          </cell>
          <cell r="O682">
            <v>9.94</v>
          </cell>
          <cell r="P682">
            <v>4.97</v>
          </cell>
        </row>
        <row r="683">
          <cell r="F683" t="str">
            <v>LL-16-3140</v>
          </cell>
          <cell r="G683" t="str">
            <v>FlowArt: Dot-By-Letter, Landscapes - WALMART PKG</v>
          </cell>
          <cell r="H683" t="str">
            <v>Y</v>
          </cell>
          <cell r="I683" t="str">
            <v>283</v>
          </cell>
          <cell r="J683">
            <v>810076212838</v>
          </cell>
          <cell r="K683">
            <v>50810076212833</v>
          </cell>
          <cell r="L683">
            <v>30810076212839</v>
          </cell>
          <cell r="M683">
            <v>4</v>
          </cell>
          <cell r="N683">
            <v>32</v>
          </cell>
          <cell r="O683">
            <v>9.94</v>
          </cell>
          <cell r="P683">
            <v>4.97</v>
          </cell>
        </row>
        <row r="684">
          <cell r="F684" t="str">
            <v>LL-16-3141</v>
          </cell>
          <cell r="G684" t="str">
            <v>FlowArt: Dot-By-Letter, Botanicals - WALMART PKG</v>
          </cell>
          <cell r="H684" t="str">
            <v>Y</v>
          </cell>
          <cell r="I684" t="str">
            <v>284</v>
          </cell>
          <cell r="J684">
            <v>810076212845</v>
          </cell>
          <cell r="K684">
            <v>50810076212840</v>
          </cell>
          <cell r="L684">
            <v>30810076212846</v>
          </cell>
          <cell r="M684">
            <v>4</v>
          </cell>
          <cell r="N684">
            <v>32</v>
          </cell>
          <cell r="O684">
            <v>9.94</v>
          </cell>
          <cell r="P684">
            <v>4.97</v>
          </cell>
        </row>
        <row r="685">
          <cell r="F685" t="str">
            <v>LL-14-3144</v>
          </cell>
          <cell r="G685" t="str">
            <v>Blush Pink Ribbed Candle - XX - WALMART PKG</v>
          </cell>
          <cell r="H685" t="str">
            <v>Y</v>
          </cell>
          <cell r="I685" t="str">
            <v>287</v>
          </cell>
          <cell r="J685">
            <v>810076212876</v>
          </cell>
          <cell r="K685">
            <v>50810076212871</v>
          </cell>
          <cell r="L685">
            <v>30810076212877</v>
          </cell>
          <cell r="M685">
            <v>2</v>
          </cell>
          <cell r="N685">
            <v>16</v>
          </cell>
          <cell r="O685">
            <v>29.82</v>
          </cell>
          <cell r="P685">
            <v>14.91</v>
          </cell>
        </row>
        <row r="686">
          <cell r="F686" t="str">
            <v>LL-14-3146</v>
          </cell>
          <cell r="G686" t="str">
            <v>Plant Diffuser -  Grass Plant - Bubble White  - WALMART PKG</v>
          </cell>
          <cell r="H686" t="str">
            <v>Y</v>
          </cell>
          <cell r="I686" t="str">
            <v>289</v>
          </cell>
          <cell r="J686">
            <v>810076212890</v>
          </cell>
          <cell r="K686">
            <v>50810076212895</v>
          </cell>
          <cell r="L686">
            <v>30810076212891</v>
          </cell>
          <cell r="M686">
            <v>2</v>
          </cell>
          <cell r="N686">
            <v>12</v>
          </cell>
          <cell r="O686">
            <v>29.82</v>
          </cell>
          <cell r="P686">
            <v>14.91</v>
          </cell>
        </row>
        <row r="687">
          <cell r="F687" t="str">
            <v>LL-16-3261</v>
          </cell>
          <cell r="G687" t="str">
            <v>FlowArt Home for the Holidays Scented CtR - WMT</v>
          </cell>
          <cell r="H687" t="str">
            <v>Y</v>
          </cell>
          <cell r="I687" t="str">
            <v>443</v>
          </cell>
          <cell r="J687">
            <v>810076214436</v>
          </cell>
          <cell r="K687">
            <v>50810076214431</v>
          </cell>
          <cell r="L687">
            <v>30810076214437</v>
          </cell>
          <cell r="M687">
            <v>6</v>
          </cell>
          <cell r="N687">
            <v>24</v>
          </cell>
          <cell r="O687">
            <v>10</v>
          </cell>
          <cell r="P687">
            <v>5</v>
          </cell>
        </row>
        <row r="688">
          <cell r="F688" t="str">
            <v>LL-16-3281</v>
          </cell>
          <cell r="G688" t="str">
            <v>FlowArt Dot-By-Letter Winterglow - WMT [Metallic]</v>
          </cell>
          <cell r="H688" t="str">
            <v>Y</v>
          </cell>
          <cell r="I688" t="str">
            <v>468</v>
          </cell>
          <cell r="J688">
            <v>810076214689</v>
          </cell>
          <cell r="K688">
            <v>50810076214684</v>
          </cell>
          <cell r="L688">
            <v>30810076214680</v>
          </cell>
          <cell r="M688">
            <v>6</v>
          </cell>
          <cell r="N688">
            <v>24</v>
          </cell>
          <cell r="O688">
            <v>10</v>
          </cell>
          <cell r="P688">
            <v>5</v>
          </cell>
        </row>
        <row r="689">
          <cell r="F689" t="str">
            <v>LL-16-3263</v>
          </cell>
          <cell r="G689" t="str">
            <v>FlowArt: Trace-by-Line: Gingerbread Delight - WMT</v>
          </cell>
          <cell r="H689" t="str">
            <v>Y</v>
          </cell>
          <cell r="I689" t="str">
            <v>445</v>
          </cell>
          <cell r="J689">
            <v>810076214450</v>
          </cell>
          <cell r="K689">
            <v>50810076214455</v>
          </cell>
          <cell r="L689">
            <v>30810076214451</v>
          </cell>
          <cell r="M689">
            <v>6</v>
          </cell>
          <cell r="N689">
            <v>24</v>
          </cell>
          <cell r="O689">
            <v>10</v>
          </cell>
          <cell r="P689">
            <v>5</v>
          </cell>
        </row>
        <row r="690">
          <cell r="F690" t="str">
            <v>LL-16-3383</v>
          </cell>
          <cell r="G690" t="str">
            <v>FlowArt Dot-By-Letter: The North Pole - WMT</v>
          </cell>
          <cell r="H690" t="str">
            <v>Y</v>
          </cell>
          <cell r="I690" t="str">
            <v>584</v>
          </cell>
          <cell r="J690">
            <v>810076215846</v>
          </cell>
          <cell r="K690">
            <v>50810076215841</v>
          </cell>
          <cell r="L690">
            <v>30810076215847</v>
          </cell>
          <cell r="M690">
            <v>6</v>
          </cell>
          <cell r="N690">
            <v>24</v>
          </cell>
          <cell r="O690">
            <v>10</v>
          </cell>
          <cell r="P690">
            <v>5</v>
          </cell>
        </row>
        <row r="691">
          <cell r="F691" t="str">
            <v>LL-16-3266</v>
          </cell>
          <cell r="G691" t="str">
            <v>FlowArt Dot-By-Letter: Wags &amp; Whiskers - WMT</v>
          </cell>
          <cell r="H691" t="str">
            <v>Y</v>
          </cell>
          <cell r="I691" t="str">
            <v>448</v>
          </cell>
          <cell r="J691">
            <v>810076214481</v>
          </cell>
          <cell r="K691">
            <v>50810076214486</v>
          </cell>
          <cell r="L691">
            <v>30810076214482</v>
          </cell>
          <cell r="M691">
            <v>6</v>
          </cell>
          <cell r="N691">
            <v>24</v>
          </cell>
          <cell r="O691">
            <v>10</v>
          </cell>
          <cell r="P691">
            <v>5</v>
          </cell>
        </row>
        <row r="692">
          <cell r="F692" t="str">
            <v>LL-30-3380</v>
          </cell>
          <cell r="G692" t="str">
            <v>FlowArt Minis EXPRESS: Nature Walk - WMT</v>
          </cell>
          <cell r="H692" t="str">
            <v>Y</v>
          </cell>
          <cell r="I692" t="str">
            <v>581</v>
          </cell>
          <cell r="J692">
            <v>810076215815</v>
          </cell>
          <cell r="K692">
            <v>50810076215810</v>
          </cell>
          <cell r="L692">
            <v>30810076215816</v>
          </cell>
          <cell r="M692">
            <v>9</v>
          </cell>
          <cell r="N692">
            <v>36</v>
          </cell>
          <cell r="O692">
            <v>4.99</v>
          </cell>
          <cell r="P692">
            <v>2.4950000000000001</v>
          </cell>
        </row>
        <row r="693">
          <cell r="F693" t="str">
            <v>LL-30-3381</v>
          </cell>
          <cell r="G693" t="str">
            <v>FlowArt Minis EXPRESS: Paws and Purrs - WMT</v>
          </cell>
          <cell r="H693" t="str">
            <v>Y</v>
          </cell>
          <cell r="I693" t="str">
            <v>582</v>
          </cell>
          <cell r="J693">
            <v>810076215822</v>
          </cell>
          <cell r="K693">
            <v>50810076215827</v>
          </cell>
          <cell r="L693">
            <v>30810076215823</v>
          </cell>
          <cell r="M693">
            <v>9</v>
          </cell>
          <cell r="N693">
            <v>36</v>
          </cell>
          <cell r="O693">
            <v>4.99</v>
          </cell>
          <cell r="P693">
            <v>2.4950000000000001</v>
          </cell>
        </row>
        <row r="694">
          <cell r="F694" t="str">
            <v>LL-30-3382</v>
          </cell>
          <cell r="G694" t="str">
            <v>FlowArt Minis EXPRESS: In Full Bloom - WMT</v>
          </cell>
          <cell r="H694" t="str">
            <v>Y</v>
          </cell>
          <cell r="I694" t="str">
            <v>583</v>
          </cell>
          <cell r="J694">
            <v>810076215839</v>
          </cell>
          <cell r="K694">
            <v>50810076215834</v>
          </cell>
          <cell r="L694">
            <v>30810076215830</v>
          </cell>
          <cell r="M694">
            <v>9</v>
          </cell>
          <cell r="N694">
            <v>36</v>
          </cell>
          <cell r="O694">
            <v>4.99</v>
          </cell>
          <cell r="P694">
            <v>2.4950000000000001</v>
          </cell>
        </row>
        <row r="695">
          <cell r="F695" t="str">
            <v>LL-25-3277</v>
          </cell>
          <cell r="G695" t="str">
            <v>Scented Palm Calms - Sweet Dreams - WMT</v>
          </cell>
          <cell r="H695" t="str">
            <v>N</v>
          </cell>
          <cell r="I695" t="str">
            <v>459</v>
          </cell>
          <cell r="J695">
            <v>810076214597</v>
          </cell>
          <cell r="K695">
            <v>50810076214592</v>
          </cell>
          <cell r="L695">
            <v>30810076214598</v>
          </cell>
          <cell r="M695">
            <v>2</v>
          </cell>
          <cell r="N695">
            <v>16</v>
          </cell>
          <cell r="O695">
            <v>15</v>
          </cell>
          <cell r="P695">
            <v>7.5</v>
          </cell>
        </row>
        <row r="696">
          <cell r="F696" t="str">
            <v>LL-14-3322</v>
          </cell>
          <cell r="G696" t="str">
            <v>Candle - Ribbed Pink - Very Vanilla - WALMART PKG</v>
          </cell>
          <cell r="H696" t="str">
            <v>Y</v>
          </cell>
          <cell r="I696" t="str">
            <v>510</v>
          </cell>
          <cell r="J696">
            <v>810076215105</v>
          </cell>
          <cell r="K696">
            <v>50810076215100</v>
          </cell>
          <cell r="L696">
            <v>30810076215106</v>
          </cell>
          <cell r="M696">
            <v>3</v>
          </cell>
          <cell r="N696">
            <v>12</v>
          </cell>
          <cell r="O696">
            <v>29.99</v>
          </cell>
          <cell r="P696">
            <v>14.994999999999999</v>
          </cell>
        </row>
        <row r="697">
          <cell r="F697" t="str">
            <v>LL-12-3279</v>
          </cell>
          <cell r="G697" t="str">
            <v>Ebb &amp; Flow Journal + Pen Gift Set - WMT</v>
          </cell>
          <cell r="H697" t="str">
            <v>Y</v>
          </cell>
          <cell r="I697" t="str">
            <v>461</v>
          </cell>
          <cell r="J697">
            <v>810076214610</v>
          </cell>
          <cell r="K697">
            <v>50810076214615</v>
          </cell>
          <cell r="L697">
            <v>30810076214611</v>
          </cell>
          <cell r="M697">
            <v>2</v>
          </cell>
          <cell r="N697">
            <v>8</v>
          </cell>
          <cell r="O697">
            <v>15</v>
          </cell>
          <cell r="P697">
            <v>7.5</v>
          </cell>
        </row>
        <row r="698">
          <cell r="F698" t="str">
            <v>LL-16-3550</v>
          </cell>
          <cell r="G698" t="str">
            <v>FlowArt: Walmart Exclusive Classic - TBD</v>
          </cell>
          <cell r="H698" t="str">
            <v>N</v>
          </cell>
          <cell r="I698" t="str">
            <v/>
          </cell>
          <cell r="O698">
            <v>9.94</v>
          </cell>
          <cell r="P698">
            <v>4.97</v>
          </cell>
        </row>
        <row r="699">
          <cell r="F699" t="str">
            <v>LL-16-3607</v>
          </cell>
          <cell r="G699" t="str">
            <v>FlowArt: Classic #1 [Pearl/Luxe] - WMT</v>
          </cell>
          <cell r="H699" t="str">
            <v>N</v>
          </cell>
          <cell r="I699" t="str">
            <v/>
          </cell>
          <cell r="O699">
            <v>9.94</v>
          </cell>
          <cell r="P699">
            <v>4.97</v>
          </cell>
        </row>
        <row r="700">
          <cell r="F700" t="str">
            <v>LL-16-3608</v>
          </cell>
          <cell r="G700" t="str">
            <v>FlowArt: Classic #2 [Pearl/Luxe] - WMT</v>
          </cell>
          <cell r="H700" t="str">
            <v>N</v>
          </cell>
          <cell r="I700" t="str">
            <v/>
          </cell>
          <cell r="O700">
            <v>9.94</v>
          </cell>
          <cell r="P700">
            <v>4.97</v>
          </cell>
        </row>
        <row r="701">
          <cell r="F701" t="str">
            <v>LL-16-3609</v>
          </cell>
          <cell r="G701" t="str">
            <v>FlowArt: Classic #3 [Pearl/Luxe] - WMT</v>
          </cell>
          <cell r="H701" t="str">
            <v>N</v>
          </cell>
          <cell r="I701" t="str">
            <v/>
          </cell>
          <cell r="O701">
            <v>9.94</v>
          </cell>
          <cell r="P701">
            <v>4.97</v>
          </cell>
        </row>
        <row r="702">
          <cell r="F702" t="str">
            <v>LL-16-3610</v>
          </cell>
          <cell r="G702" t="str">
            <v>FlowArt: Classic #4 [Pearl/Luxe] - WMT</v>
          </cell>
          <cell r="H702" t="str">
            <v>N</v>
          </cell>
          <cell r="I702" t="str">
            <v/>
          </cell>
          <cell r="O702">
            <v>9.94</v>
          </cell>
          <cell r="P702">
            <v>4.97</v>
          </cell>
        </row>
        <row r="703">
          <cell r="F703" t="str">
            <v>LL-16-3611</v>
          </cell>
          <cell r="G703" t="str">
            <v>FlowArt: Classic #5 [Pearl/Luxe] - WMT</v>
          </cell>
          <cell r="H703" t="str">
            <v>N</v>
          </cell>
          <cell r="I703" t="str">
            <v/>
          </cell>
          <cell r="O703">
            <v>9.94</v>
          </cell>
          <cell r="P703">
            <v>4.97</v>
          </cell>
        </row>
        <row r="704">
          <cell r="F704" t="str">
            <v>LL-30-3604</v>
          </cell>
          <cell r="G704" t="str">
            <v>FlowArt Mini EXPRESS: Holiday #4 - Mode TBD - WMT</v>
          </cell>
          <cell r="H704" t="str">
            <v>N</v>
          </cell>
          <cell r="I704" t="str">
            <v/>
          </cell>
        </row>
        <row r="705">
          <cell r="F705" t="str">
            <v>LL-30-3605</v>
          </cell>
          <cell r="G705" t="str">
            <v>FlowArt Mini EXPRESS: Holiday #5 - Mode TBD - WMT</v>
          </cell>
          <cell r="H705" t="str">
            <v>N</v>
          </cell>
          <cell r="I705" t="str">
            <v/>
          </cell>
        </row>
        <row r="706">
          <cell r="F706" t="str">
            <v>LL-30-3606</v>
          </cell>
          <cell r="G706" t="str">
            <v>FlowArt Mini EXPRESS: Holiday #6 - Mode TBD - WMT</v>
          </cell>
          <cell r="H706" t="str">
            <v>N</v>
          </cell>
          <cell r="I706" t="str">
            <v/>
          </cell>
        </row>
        <row r="707">
          <cell r="F707" t="str">
            <v>LL-25-3613</v>
          </cell>
          <cell r="G707" t="str">
            <v>Palm Calm #1 - TBD - WMT</v>
          </cell>
          <cell r="H707" t="str">
            <v>N</v>
          </cell>
          <cell r="I707" t="str">
            <v/>
          </cell>
        </row>
        <row r="708">
          <cell r="F708" t="str">
            <v>LL-25-3614</v>
          </cell>
          <cell r="G708" t="str">
            <v>Palm Calm #2 - TBD - WMT</v>
          </cell>
          <cell r="H708" t="str">
            <v>N</v>
          </cell>
          <cell r="I708" t="str">
            <v/>
          </cell>
        </row>
        <row r="709">
          <cell r="F709" t="str">
            <v>LL-12-3612</v>
          </cell>
          <cell r="G709" t="str">
            <v>FlowArt Journal Set - TBD - WMT</v>
          </cell>
          <cell r="H709" t="str">
            <v>N</v>
          </cell>
          <cell r="I709" t="str">
            <v/>
          </cell>
          <cell r="J709"/>
          <cell r="K709"/>
          <cell r="L709"/>
          <cell r="M709"/>
          <cell r="N709"/>
          <cell r="O709"/>
          <cell r="P709"/>
        </row>
        <row r="710">
          <cell r="F710" t="str">
            <v>LL-99-3111</v>
          </cell>
          <cell r="G710" t="str">
            <v>Meijer Highlighter Display Tray (Filled)</v>
          </cell>
          <cell r="H710" t="str">
            <v>N</v>
          </cell>
          <cell r="I710" t="str">
            <v>251</v>
          </cell>
          <cell r="J710">
            <v>810076212517</v>
          </cell>
          <cell r="K710">
            <v>50810076212512</v>
          </cell>
          <cell r="L710">
            <v>30810076212518</v>
          </cell>
          <cell r="M710"/>
          <cell r="N710"/>
          <cell r="O710">
            <v>79.989999999999995</v>
          </cell>
          <cell r="P710">
            <v>39.994999999999997</v>
          </cell>
        </row>
        <row r="711">
          <cell r="F711" t="str">
            <v>LL-99-3112</v>
          </cell>
          <cell r="G711" t="str">
            <v>Meijer Lava Pen Display Tray (Filled)</v>
          </cell>
          <cell r="H711" t="str">
            <v>N</v>
          </cell>
          <cell r="I711" t="str">
            <v>252</v>
          </cell>
          <cell r="J711">
            <v>810076212524</v>
          </cell>
          <cell r="K711">
            <v>50810076212529</v>
          </cell>
          <cell r="L711">
            <v>30810076212525</v>
          </cell>
          <cell r="M711"/>
          <cell r="N711"/>
          <cell r="O711">
            <v>79.989999999999995</v>
          </cell>
          <cell r="P711">
            <v>39.994999999999997</v>
          </cell>
        </row>
        <row r="712">
          <cell r="F712" t="str">
            <v>LL-99-3113</v>
          </cell>
          <cell r="G712" t="str">
            <v>Meijer 10PK Colored Pencil Display Tray (Filled)</v>
          </cell>
          <cell r="H712" t="str">
            <v>N</v>
          </cell>
          <cell r="I712" t="str">
            <v>253</v>
          </cell>
          <cell r="J712">
            <v>810076212531</v>
          </cell>
          <cell r="K712">
            <v>50810076212536</v>
          </cell>
          <cell r="L712">
            <v>30810076212532</v>
          </cell>
          <cell r="M712"/>
          <cell r="N712"/>
          <cell r="O712">
            <v>79.989999999999995</v>
          </cell>
          <cell r="P712">
            <v>39.994999999999997</v>
          </cell>
        </row>
        <row r="713">
          <cell r="F713" t="str">
            <v>LL-99-3114</v>
          </cell>
          <cell r="G713" t="str">
            <v>Meijer 20PK Colored Pencil Display Tray (Filled)</v>
          </cell>
          <cell r="H713" t="str">
            <v>N</v>
          </cell>
          <cell r="I713" t="str">
            <v>254</v>
          </cell>
          <cell r="J713">
            <v>810076212548</v>
          </cell>
          <cell r="K713">
            <v>50810076212543</v>
          </cell>
          <cell r="L713">
            <v>30810076212549</v>
          </cell>
          <cell r="M713"/>
          <cell r="N713"/>
          <cell r="O713">
            <v>199.99</v>
          </cell>
          <cell r="P713">
            <v>99.995000000000005</v>
          </cell>
        </row>
        <row r="714">
          <cell r="F714" t="str">
            <v>LL-98-3119</v>
          </cell>
          <cell r="G714" t="str">
            <v xml:space="preserve">2025 Writing Sidecap Shipper (Filled) </v>
          </cell>
          <cell r="H714" t="str">
            <v>N</v>
          </cell>
          <cell r="I714" t="str">
            <v>255</v>
          </cell>
          <cell r="J714">
            <v>810076212555</v>
          </cell>
          <cell r="K714" t="str">
            <v/>
          </cell>
          <cell r="L714" t="str">
            <v/>
          </cell>
          <cell r="M714"/>
          <cell r="N714"/>
          <cell r="O714">
            <v>429.99</v>
          </cell>
          <cell r="P714">
            <v>214.995</v>
          </cell>
        </row>
        <row r="715">
          <cell r="F715" t="str">
            <v>LL-00-0001</v>
          </cell>
          <cell r="G715" t="str">
            <v>Empty Cardboard Shipper Base</v>
          </cell>
          <cell r="H715" t="str">
            <v>N</v>
          </cell>
          <cell r="I715" t="str">
            <v/>
          </cell>
          <cell r="J715" t="str">
            <v/>
          </cell>
          <cell r="K715" t="str">
            <v/>
          </cell>
          <cell r="L715" t="str">
            <v/>
          </cell>
        </row>
        <row r="716">
          <cell r="F716" t="str">
            <v>LL-00-0002</v>
          </cell>
          <cell r="G716" t="str">
            <v>Empty Sidecap Shipper with Base</v>
          </cell>
          <cell r="H716" t="str">
            <v>N</v>
          </cell>
          <cell r="I716" t="str">
            <v/>
          </cell>
          <cell r="J716" t="str">
            <v/>
          </cell>
          <cell r="K716" t="str">
            <v/>
          </cell>
          <cell r="L716" t="str">
            <v/>
          </cell>
        </row>
        <row r="717">
          <cell r="F717" t="str">
            <v>LL-00-0003</v>
          </cell>
          <cell r="G717" t="str">
            <v>Target Writing Sidecap Shipper (Summer 2025)</v>
          </cell>
          <cell r="H717" t="str">
            <v>N</v>
          </cell>
          <cell r="I717" t="str">
            <v>305</v>
          </cell>
          <cell r="J717">
            <v>810076213057</v>
          </cell>
          <cell r="K717">
            <v>50810076213052</v>
          </cell>
          <cell r="L717">
            <v>30810076213058</v>
          </cell>
          <cell r="M717">
            <v>0</v>
          </cell>
          <cell r="N717">
            <v>1</v>
          </cell>
        </row>
        <row r="718">
          <cell r="F718" t="str">
            <v>LL-00-0005</v>
          </cell>
          <cell r="G718" t="str">
            <v>Target Writing Endcap Shipper (Fall 2025) - Shelf A</v>
          </cell>
          <cell r="H718" t="str">
            <v>N</v>
          </cell>
          <cell r="I718" t="str">
            <v>333</v>
          </cell>
          <cell r="J718">
            <v>810076213330</v>
          </cell>
          <cell r="K718">
            <v>50810076213335</v>
          </cell>
          <cell r="L718">
            <v>30810076213331</v>
          </cell>
          <cell r="M718">
            <v>0</v>
          </cell>
          <cell r="N718">
            <v>1</v>
          </cell>
        </row>
        <row r="719">
          <cell r="F719" t="str">
            <v>LL-00-0006</v>
          </cell>
          <cell r="G719" t="str">
            <v>Target Writing Endcap Shipper (Fall 2025) - Shelf B</v>
          </cell>
          <cell r="H719" t="str">
            <v>N</v>
          </cell>
          <cell r="I719" t="str">
            <v>334</v>
          </cell>
          <cell r="J719">
            <v>810076213347</v>
          </cell>
          <cell r="K719">
            <v>50810076213342</v>
          </cell>
          <cell r="L719">
            <v>30810076213348</v>
          </cell>
          <cell r="M719">
            <v>0</v>
          </cell>
          <cell r="N719">
            <v>1</v>
          </cell>
        </row>
        <row r="720">
          <cell r="F720" t="str">
            <v>LL-00-0007</v>
          </cell>
          <cell r="G720" t="str">
            <v>Target Writing Endcap Shipper (Winter 2025) - Shelf A</v>
          </cell>
          <cell r="H720" t="str">
            <v>N</v>
          </cell>
          <cell r="I720" t="str">
            <v>362</v>
          </cell>
          <cell r="J720">
            <v>810076213620</v>
          </cell>
          <cell r="K720">
            <v>50810076213625</v>
          </cell>
          <cell r="L720">
            <v>30810076213621</v>
          </cell>
          <cell r="M720">
            <v>0</v>
          </cell>
          <cell r="N720">
            <v>1</v>
          </cell>
        </row>
        <row r="721">
          <cell r="F721" t="str">
            <v>LL-00-0008</v>
          </cell>
          <cell r="G721" t="str">
            <v>Target Writing Endcap Shipper (Winter 2025) - Shelf B</v>
          </cell>
          <cell r="H721" t="str">
            <v>N</v>
          </cell>
          <cell r="I721" t="str">
            <v>363</v>
          </cell>
          <cell r="J721">
            <v>810076213637</v>
          </cell>
          <cell r="K721">
            <v>50810076213632</v>
          </cell>
          <cell r="L721">
            <v>30810076213638</v>
          </cell>
          <cell r="M721">
            <v>1</v>
          </cell>
          <cell r="N721">
            <v>1</v>
          </cell>
        </row>
        <row r="722">
          <cell r="F722" t="str">
            <v>LL-00-0050</v>
          </cell>
          <cell r="G722" t="str">
            <v>FY27Q2 Sidecap - FA Mini Express - TGT - C4</v>
          </cell>
          <cell r="H722" t="str">
            <v>N</v>
          </cell>
          <cell r="I722" t="str">
            <v>739</v>
          </cell>
          <cell r="J722">
            <v>810076217390</v>
          </cell>
          <cell r="K722">
            <v>50810076217395</v>
          </cell>
          <cell r="L722">
            <v>30810076217391</v>
          </cell>
          <cell r="M722">
            <v>0</v>
          </cell>
          <cell r="N722">
            <v>1</v>
          </cell>
          <cell r="P722">
            <v>180</v>
          </cell>
        </row>
        <row r="723">
          <cell r="F723" t="str">
            <v>LL-99-0050</v>
          </cell>
          <cell r="G723" t="str">
            <v>FY27Q2 Sidecap - FA Mini Express - TGT - EMPTY</v>
          </cell>
          <cell r="H723" t="str">
            <v>N</v>
          </cell>
          <cell r="I723" t="str">
            <v/>
          </cell>
          <cell r="J723" t="str">
            <v/>
          </cell>
          <cell r="K723" t="str">
            <v/>
          </cell>
          <cell r="L723" t="str">
            <v/>
          </cell>
          <cell r="M723">
            <v>0</v>
          </cell>
          <cell r="N723">
            <v>1</v>
          </cell>
        </row>
        <row r="724">
          <cell r="F724" t="str">
            <v>LL-00-0051</v>
          </cell>
          <cell r="G724" t="str">
            <v>FY27Q1 Sidewing - FA Mini - 72</v>
          </cell>
          <cell r="H724" t="str">
            <v>N</v>
          </cell>
          <cell r="I724" t="str">
            <v>740</v>
          </cell>
          <cell r="J724">
            <v>810076217406</v>
          </cell>
          <cell r="K724">
            <v>50810076217401</v>
          </cell>
          <cell r="L724">
            <v>30810076217407</v>
          </cell>
          <cell r="M724">
            <v>0</v>
          </cell>
          <cell r="N724">
            <v>1</v>
          </cell>
          <cell r="P724">
            <v>252</v>
          </cell>
        </row>
        <row r="725">
          <cell r="F725" t="str">
            <v>LL-99-0051</v>
          </cell>
          <cell r="G725" t="str">
            <v>FY27Q1 Sidewing - FA Mini - EMPTY</v>
          </cell>
          <cell r="H725" t="str">
            <v>N</v>
          </cell>
          <cell r="I725" t="str">
            <v/>
          </cell>
          <cell r="J725" t="str">
            <v/>
          </cell>
          <cell r="K725" t="str">
            <v/>
          </cell>
          <cell r="L725" t="str">
            <v/>
          </cell>
          <cell r="M725">
            <v>0</v>
          </cell>
          <cell r="N725">
            <v>1</v>
          </cell>
        </row>
        <row r="726">
          <cell r="F726" t="str">
            <v>LL-00-0052</v>
          </cell>
          <cell r="G726" t="str">
            <v>FY27Q2 Sidecap - FA Mini Express - TGT - C4</v>
          </cell>
          <cell r="H726" t="str">
            <v>N</v>
          </cell>
          <cell r="I726" t="str">
            <v>756</v>
          </cell>
          <cell r="J726">
            <v>810076217567</v>
          </cell>
          <cell r="K726">
            <v>50810076217562</v>
          </cell>
          <cell r="L726">
            <v>30810076217568</v>
          </cell>
          <cell r="M726">
            <v>0</v>
          </cell>
          <cell r="N726">
            <v>1</v>
          </cell>
          <cell r="P726">
            <v>180</v>
          </cell>
        </row>
        <row r="727">
          <cell r="F727" t="str">
            <v>LL-99-0052</v>
          </cell>
          <cell r="G727" t="str">
            <v>FY27Q2 Sidecap - FA Mini Express - TGT - EMPTY</v>
          </cell>
          <cell r="H727" t="str">
            <v>N</v>
          </cell>
          <cell r="I727" t="str">
            <v/>
          </cell>
          <cell r="J727" t="str">
            <v/>
          </cell>
          <cell r="K727" t="str">
            <v/>
          </cell>
          <cell r="L727" t="str">
            <v/>
          </cell>
          <cell r="M727">
            <v>0</v>
          </cell>
          <cell r="N727">
            <v>1</v>
          </cell>
        </row>
        <row r="728">
          <cell r="F728" t="str">
            <v>LL-00-0035</v>
          </cell>
          <cell r="G728" t="str">
            <v>Holiday Sidecap - FA Express - TGT - Full</v>
          </cell>
          <cell r="H728" t="str">
            <v>Y</v>
          </cell>
          <cell r="I728" t="str">
            <v>578</v>
          </cell>
          <cell r="J728">
            <v>810076215785</v>
          </cell>
          <cell r="K728">
            <v>50810076215780</v>
          </cell>
          <cell r="L728">
            <v>30810076215786</v>
          </cell>
          <cell r="M728">
            <v>0</v>
          </cell>
          <cell r="N728">
            <v>1</v>
          </cell>
          <cell r="P728">
            <v>140</v>
          </cell>
        </row>
        <row r="729">
          <cell r="F729" t="str">
            <v>LL-99-0035</v>
          </cell>
          <cell r="G729" t="str">
            <v>Holiday Sidecap - FA Express - TGT - Empty</v>
          </cell>
          <cell r="H729" t="str">
            <v>N</v>
          </cell>
          <cell r="I729" t="str">
            <v>579</v>
          </cell>
          <cell r="J729">
            <v>810076215792</v>
          </cell>
          <cell r="K729">
            <v>50810076215797</v>
          </cell>
          <cell r="L729">
            <v>30810076215793</v>
          </cell>
          <cell r="M729">
            <v>0</v>
          </cell>
          <cell r="N729">
            <v>1</v>
          </cell>
          <cell r="O729"/>
          <cell r="P729"/>
        </row>
        <row r="730">
          <cell r="F730" t="str">
            <v>LL-00-0010</v>
          </cell>
          <cell r="G730" t="str">
            <v>Target Sidecap Shipper + Base</v>
          </cell>
          <cell r="H730" t="str">
            <v>N</v>
          </cell>
          <cell r="I730" t="str">
            <v/>
          </cell>
          <cell r="M730">
            <v>0</v>
          </cell>
          <cell r="N730">
            <v>1</v>
          </cell>
        </row>
        <row r="731">
          <cell r="F731" t="str">
            <v>LL-WM-0011</v>
          </cell>
          <cell r="G731" t="str">
            <v>BTS Sidecap - FA Minis - WALMART</v>
          </cell>
          <cell r="H731" t="str">
            <v>N</v>
          </cell>
          <cell r="I731" t="str">
            <v>432</v>
          </cell>
          <cell r="J731">
            <v>810076214320</v>
          </cell>
          <cell r="K731">
            <v>50810076214325</v>
          </cell>
          <cell r="L731">
            <v>30810076214321</v>
          </cell>
          <cell r="M731">
            <v>0</v>
          </cell>
          <cell r="N731">
            <v>1</v>
          </cell>
        </row>
        <row r="732">
          <cell r="F732" t="str">
            <v>LL-WM-0021</v>
          </cell>
          <cell r="G732" t="str">
            <v>BTS Sidecap - FA Minis - WALMART - Full</v>
          </cell>
          <cell r="H732" t="str">
            <v>Y</v>
          </cell>
          <cell r="I732" t="str">
            <v>472</v>
          </cell>
          <cell r="J732">
            <v>810076214726</v>
          </cell>
          <cell r="K732">
            <v>50810076214721</v>
          </cell>
          <cell r="L732">
            <v>30810076214727</v>
          </cell>
          <cell r="M732">
            <v>0</v>
          </cell>
          <cell r="N732">
            <v>1</v>
          </cell>
          <cell r="P732">
            <v>140</v>
          </cell>
        </row>
        <row r="733">
          <cell r="F733" t="str">
            <v>LL-WM-9921</v>
          </cell>
          <cell r="G733" t="str">
            <v>BTS Sidecap - FA Minis - WALMART - Empty</v>
          </cell>
          <cell r="H733" t="str">
            <v>N</v>
          </cell>
          <cell r="I733" t="str">
            <v/>
          </cell>
          <cell r="M733">
            <v>0</v>
          </cell>
          <cell r="N733">
            <v>1</v>
          </cell>
        </row>
        <row r="734">
          <cell r="F734" t="str">
            <v>LL-WG-0018</v>
          </cell>
          <cell r="G734" t="str">
            <v>Tower - FA Minis - WALGREENS - Full</v>
          </cell>
          <cell r="H734" t="str">
            <v>N</v>
          </cell>
          <cell r="I734" t="str">
            <v>498</v>
          </cell>
          <cell r="J734">
            <v>810076214986</v>
          </cell>
          <cell r="K734">
            <v>50810076214981</v>
          </cell>
          <cell r="L734">
            <v>30810076214987</v>
          </cell>
          <cell r="M734">
            <v>0</v>
          </cell>
          <cell r="N734">
            <v>1</v>
          </cell>
          <cell r="P734">
            <v>71.53</v>
          </cell>
        </row>
        <row r="735">
          <cell r="F735" t="str">
            <v>LL-WM-9950</v>
          </cell>
          <cell r="G735" t="str">
            <v>FY27Q1 Endcap - FA - WMT - EMPTY</v>
          </cell>
          <cell r="H735" t="str">
            <v>N</v>
          </cell>
          <cell r="I735" t="str">
            <v/>
          </cell>
          <cell r="M735">
            <v>0</v>
          </cell>
          <cell r="N735">
            <v>1</v>
          </cell>
        </row>
        <row r="736">
          <cell r="F736" t="str">
            <v>LL-WM-0045</v>
          </cell>
          <cell r="G736" t="str">
            <v>FY27Q1 Endcap - FA - WMT - 9 - SHELF #1</v>
          </cell>
          <cell r="H736" t="str">
            <v>N</v>
          </cell>
          <cell r="I736" t="str">
            <v>726</v>
          </cell>
          <cell r="J736">
            <v>810076217260</v>
          </cell>
          <cell r="K736">
            <v>50810076217265</v>
          </cell>
          <cell r="L736">
            <v>30810076217261</v>
          </cell>
          <cell r="M736">
            <v>0</v>
          </cell>
          <cell r="N736">
            <v>1</v>
          </cell>
          <cell r="P736">
            <v>45</v>
          </cell>
        </row>
        <row r="737">
          <cell r="F737" t="str">
            <v>LL-WM-0046</v>
          </cell>
          <cell r="G737" t="str">
            <v>FY27Q1 Endcap - FA - WMT - 9 - SHELF #2</v>
          </cell>
          <cell r="H737" t="str">
            <v>N</v>
          </cell>
          <cell r="I737" t="str">
            <v>727</v>
          </cell>
          <cell r="J737">
            <v>810076217277</v>
          </cell>
          <cell r="K737">
            <v>50810076217272</v>
          </cell>
          <cell r="L737">
            <v>30810076217278</v>
          </cell>
          <cell r="M737">
            <v>0</v>
          </cell>
          <cell r="N737">
            <v>1</v>
          </cell>
          <cell r="P737">
            <v>45</v>
          </cell>
        </row>
        <row r="738">
          <cell r="F738" t="str">
            <v>LL-WM-0047</v>
          </cell>
          <cell r="G738" t="str">
            <v>FY27Q1 Endcap - FA - WMT - 9 - SHELF #3</v>
          </cell>
          <cell r="H738" t="str">
            <v>N</v>
          </cell>
          <cell r="I738" t="str">
            <v>728</v>
          </cell>
          <cell r="J738">
            <v>810076217284</v>
          </cell>
          <cell r="K738">
            <v>50810076217289</v>
          </cell>
          <cell r="L738">
            <v>30810076217285</v>
          </cell>
          <cell r="M738">
            <v>0</v>
          </cell>
          <cell r="N738">
            <v>1</v>
          </cell>
          <cell r="P738">
            <v>45</v>
          </cell>
        </row>
        <row r="739">
          <cell r="F739" t="str">
            <v>LL-WM-0048</v>
          </cell>
          <cell r="G739" t="str">
            <v>FY27Q1 Endcap - FA - WMT - 9 - SHELF #4</v>
          </cell>
          <cell r="H739" t="str">
            <v>N</v>
          </cell>
          <cell r="I739" t="str">
            <v>729</v>
          </cell>
          <cell r="J739">
            <v>810076217291</v>
          </cell>
          <cell r="K739">
            <v>50810076217296</v>
          </cell>
          <cell r="L739">
            <v>30810076217292</v>
          </cell>
          <cell r="M739">
            <v>0</v>
          </cell>
          <cell r="N739">
            <v>1</v>
          </cell>
          <cell r="P739">
            <v>45</v>
          </cell>
        </row>
        <row r="740">
          <cell r="F740" t="str">
            <v>LL-WM-0049</v>
          </cell>
          <cell r="G740" t="str">
            <v>FY27Q1 Endcap - FA - WMT - 9 - SHELF #5</v>
          </cell>
          <cell r="H740" t="str">
            <v>N</v>
          </cell>
          <cell r="I740" t="str">
            <v>730</v>
          </cell>
          <cell r="J740">
            <v>810076217307</v>
          </cell>
          <cell r="K740">
            <v>50810076217302</v>
          </cell>
          <cell r="L740">
            <v>30810076217308</v>
          </cell>
          <cell r="M740">
            <v>0</v>
          </cell>
          <cell r="N740">
            <v>1</v>
          </cell>
          <cell r="P740">
            <v>45</v>
          </cell>
        </row>
        <row r="741">
          <cell r="F741" t="str">
            <v>LL-WM-0005</v>
          </cell>
          <cell r="G741" t="str">
            <v>May26 Sidekick - FA - WALMART - 12</v>
          </cell>
          <cell r="H741" t="str">
            <v>Y</v>
          </cell>
          <cell r="I741" t="str">
            <v>511</v>
          </cell>
          <cell r="J741">
            <v>810076215112</v>
          </cell>
          <cell r="K741">
            <v>50810076215117</v>
          </cell>
          <cell r="L741">
            <v>30810076215113</v>
          </cell>
          <cell r="M741">
            <v>0</v>
          </cell>
          <cell r="N741">
            <v>1</v>
          </cell>
          <cell r="P741">
            <v>60</v>
          </cell>
        </row>
        <row r="742">
          <cell r="F742" t="str">
            <v>LL-WM-9905</v>
          </cell>
          <cell r="G742" t="str">
            <v>May26 Sidekick - FA - WALMART - Empty</v>
          </cell>
          <cell r="H742" t="str">
            <v>N</v>
          </cell>
          <cell r="I742" t="str">
            <v/>
          </cell>
          <cell r="M742">
            <v>0</v>
          </cell>
          <cell r="N742">
            <v>1</v>
          </cell>
          <cell r="P742">
            <v>0</v>
          </cell>
        </row>
        <row r="743">
          <cell r="F743" t="str">
            <v>LL-WM-0006</v>
          </cell>
          <cell r="G743" t="str">
            <v>Oct26 Sidekick - FA - WALMART - 16</v>
          </cell>
          <cell r="H743" t="str">
            <v>Y</v>
          </cell>
          <cell r="I743" t="str">
            <v>559</v>
          </cell>
          <cell r="J743">
            <v>810076215594</v>
          </cell>
          <cell r="M743">
            <v>0</v>
          </cell>
          <cell r="N743">
            <v>1</v>
          </cell>
          <cell r="P743">
            <v>80</v>
          </cell>
        </row>
        <row r="744">
          <cell r="F744" t="str">
            <v>LL-WM-9906</v>
          </cell>
          <cell r="G744" t="str">
            <v>Oct26 Sidekick - FA - WALMART - Empty</v>
          </cell>
          <cell r="H744" t="str">
            <v>N</v>
          </cell>
          <cell r="I744" t="str">
            <v/>
          </cell>
          <cell r="M744">
            <v>0</v>
          </cell>
          <cell r="N744">
            <v>1</v>
          </cell>
          <cell r="P744">
            <v>0</v>
          </cell>
        </row>
        <row r="745">
          <cell r="F745" t="str">
            <v>LL-00-0011</v>
          </cell>
          <cell r="G745" t="str">
            <v>May26 Sidecap - FA Minis - 72</v>
          </cell>
          <cell r="H745" t="str">
            <v>Y</v>
          </cell>
          <cell r="I745" t="str">
            <v>405</v>
          </cell>
          <cell r="J745">
            <v>810076214054</v>
          </cell>
          <cell r="K745">
            <v>50810076214059</v>
          </cell>
          <cell r="L745">
            <v>30810076214055</v>
          </cell>
          <cell r="M745">
            <v>0</v>
          </cell>
          <cell r="N745">
            <v>1</v>
          </cell>
          <cell r="P745">
            <v>252</v>
          </cell>
        </row>
        <row r="746">
          <cell r="F746" t="str">
            <v>LL-99-0011</v>
          </cell>
          <cell r="G746" t="str">
            <v>BTS FA Mini Empty</v>
          </cell>
          <cell r="H746" t="str">
            <v>N</v>
          </cell>
          <cell r="I746" t="str">
            <v>406</v>
          </cell>
          <cell r="J746">
            <v>810076214061</v>
          </cell>
          <cell r="K746">
            <v>50810076214066</v>
          </cell>
          <cell r="L746">
            <v>30810076214062</v>
          </cell>
          <cell r="M746">
            <v>0</v>
          </cell>
          <cell r="N746">
            <v>1</v>
          </cell>
        </row>
        <row r="747">
          <cell r="F747" t="str">
            <v>LL-00-0014</v>
          </cell>
          <cell r="G747" t="str">
            <v>FA Mini - Counter Display - 36</v>
          </cell>
          <cell r="H747" t="str">
            <v>Y</v>
          </cell>
          <cell r="I747" t="str">
            <v>437</v>
          </cell>
          <cell r="J747">
            <v>810076214375</v>
          </cell>
          <cell r="K747">
            <v>50810076214370</v>
          </cell>
          <cell r="L747">
            <v>30810076214376</v>
          </cell>
          <cell r="M747">
            <v>0</v>
          </cell>
          <cell r="N747">
            <v>1</v>
          </cell>
          <cell r="P747">
            <v>126</v>
          </cell>
        </row>
        <row r="748">
          <cell r="F748" t="str">
            <v>LL-99-0014</v>
          </cell>
          <cell r="G748" t="str">
            <v>FA Mini - Counter Display - Empty</v>
          </cell>
          <cell r="H748" t="str">
            <v>N</v>
          </cell>
          <cell r="I748" t="str">
            <v>619</v>
          </cell>
          <cell r="J748">
            <v>810076216195</v>
          </cell>
          <cell r="K748">
            <v>50810076216190</v>
          </cell>
          <cell r="L748">
            <v>30810076216196</v>
          </cell>
          <cell r="M748">
            <v>0</v>
          </cell>
          <cell r="N748">
            <v>1</v>
          </cell>
        </row>
        <row r="749">
          <cell r="F749" t="str">
            <v>LL-00-0032</v>
          </cell>
          <cell r="G749" t="str">
            <v>FA Mini - PDQ Display - Full - 6</v>
          </cell>
          <cell r="H749" t="str">
            <v>Y</v>
          </cell>
          <cell r="I749" t="str">
            <v>562</v>
          </cell>
          <cell r="J749">
            <v>810076215624</v>
          </cell>
          <cell r="K749">
            <v>50810076215629</v>
          </cell>
          <cell r="L749">
            <v>30810076215625</v>
          </cell>
          <cell r="M749">
            <v>0</v>
          </cell>
          <cell r="N749">
            <v>1</v>
          </cell>
          <cell r="P749">
            <v>21</v>
          </cell>
        </row>
        <row r="750">
          <cell r="F750" t="str">
            <v>LL-99-0032</v>
          </cell>
          <cell r="G750" t="str">
            <v>FA Mini - PDQ Display - Empty</v>
          </cell>
          <cell r="H750" t="str">
            <v>N</v>
          </cell>
          <cell r="I750" t="str">
            <v/>
          </cell>
          <cell r="M750">
            <v>0</v>
          </cell>
          <cell r="N750">
            <v>1</v>
          </cell>
        </row>
        <row r="751">
          <cell r="F751" t="str">
            <v>LL-00-0034</v>
          </cell>
          <cell r="G751" t="str">
            <v>FA Mini - Stew Leonard - 36</v>
          </cell>
          <cell r="H751" t="str">
            <v>N</v>
          </cell>
          <cell r="I751" t="str">
            <v>577</v>
          </cell>
          <cell r="J751">
            <v>810076215778</v>
          </cell>
          <cell r="K751">
            <v>50810076215773</v>
          </cell>
          <cell r="L751">
            <v>30810076215779</v>
          </cell>
          <cell r="M751">
            <v>0</v>
          </cell>
          <cell r="N751">
            <v>1</v>
          </cell>
          <cell r="P751">
            <v>21</v>
          </cell>
        </row>
        <row r="752">
          <cell r="F752" t="str">
            <v>LL-00-0015</v>
          </cell>
          <cell r="G752" t="str">
            <v>FA Holiday Mini - Counter Display - Full</v>
          </cell>
          <cell r="H752" t="str">
            <v>Y</v>
          </cell>
          <cell r="I752" t="str">
            <v>438</v>
          </cell>
          <cell r="J752">
            <v>810076214382</v>
          </cell>
          <cell r="K752">
            <v>50810076214387</v>
          </cell>
          <cell r="L752">
            <v>30810076214383</v>
          </cell>
          <cell r="M752">
            <v>0</v>
          </cell>
          <cell r="N752">
            <v>1</v>
          </cell>
          <cell r="P752">
            <v>126</v>
          </cell>
        </row>
        <row r="753">
          <cell r="F753" t="str">
            <v>LL-99-0015</v>
          </cell>
          <cell r="G753" t="str">
            <v>FA Holiday Mini - Counter Display - Empty</v>
          </cell>
          <cell r="H753" t="str">
            <v>N</v>
          </cell>
          <cell r="I753" t="str">
            <v/>
          </cell>
          <cell r="M753">
            <v>0</v>
          </cell>
          <cell r="N753">
            <v>1</v>
          </cell>
        </row>
        <row r="754">
          <cell r="F754" t="str">
            <v>LL-99-3087</v>
          </cell>
          <cell r="G754" t="str">
            <v>UNIVERSAL COUNTER DISPLAY - EMPTY</v>
          </cell>
          <cell r="H754" t="str">
            <v>N</v>
          </cell>
          <cell r="I754" t="str">
            <v>214</v>
          </cell>
          <cell r="J754">
            <v>810076212142</v>
          </cell>
          <cell r="K754">
            <v>50810076212147</v>
          </cell>
          <cell r="L754">
            <v>30810076212143</v>
          </cell>
          <cell r="M754"/>
          <cell r="N754"/>
          <cell r="O754">
            <v>0</v>
          </cell>
          <cell r="P754">
            <v>0</v>
          </cell>
        </row>
        <row r="755">
          <cell r="F755" t="str">
            <v>LL-00-0017</v>
          </cell>
          <cell r="G755" t="str">
            <v>Writing - Counter Display - Full</v>
          </cell>
          <cell r="H755" t="str">
            <v>Y</v>
          </cell>
          <cell r="I755" t="str">
            <v>440</v>
          </cell>
          <cell r="J755">
            <v>810076214405</v>
          </cell>
          <cell r="K755">
            <v>50810076214400</v>
          </cell>
          <cell r="L755">
            <v>30810076214406</v>
          </cell>
          <cell r="M755">
            <v>0</v>
          </cell>
          <cell r="N755">
            <v>1</v>
          </cell>
        </row>
        <row r="756">
          <cell r="F756" t="str">
            <v>LL-00-0012</v>
          </cell>
          <cell r="G756" t="str">
            <v>Holiday Sidecap - FA Minis</v>
          </cell>
          <cell r="H756" t="str">
            <v>Y</v>
          </cell>
          <cell r="I756" t="str">
            <v>430</v>
          </cell>
          <cell r="J756">
            <v>810076214306</v>
          </cell>
          <cell r="K756">
            <v>50810076214301</v>
          </cell>
          <cell r="L756">
            <v>30810076214307</v>
          </cell>
          <cell r="M756">
            <v>0</v>
          </cell>
          <cell r="N756">
            <v>1</v>
          </cell>
        </row>
        <row r="757">
          <cell r="F757" t="str">
            <v>LL-99-0012</v>
          </cell>
          <cell r="G757" t="str">
            <v>Holiday FA Mini Empty</v>
          </cell>
          <cell r="H757" t="str">
            <v>N</v>
          </cell>
          <cell r="I757" t="str">
            <v>431</v>
          </cell>
          <cell r="J757">
            <v>810076214313</v>
          </cell>
          <cell r="K757">
            <v>50810076214318</v>
          </cell>
          <cell r="L757">
            <v>30810076214314</v>
          </cell>
          <cell r="M757">
            <v>0</v>
          </cell>
          <cell r="N757">
            <v>1</v>
          </cell>
          <cell r="P757">
            <v>252</v>
          </cell>
        </row>
        <row r="758">
          <cell r="F758" t="str">
            <v>LL-00-0024</v>
          </cell>
          <cell r="G758" t="str">
            <v>FlowArt Grocery Display Evergreen - 24</v>
          </cell>
          <cell r="H758" t="str">
            <v>Y</v>
          </cell>
          <cell r="I758" t="str">
            <v>517</v>
          </cell>
          <cell r="J758">
            <v>810076215174</v>
          </cell>
          <cell r="K758">
            <v>50810076215179</v>
          </cell>
          <cell r="L758">
            <v>30810076215175</v>
          </cell>
          <cell r="M758">
            <v>0</v>
          </cell>
          <cell r="N758">
            <v>1</v>
          </cell>
          <cell r="O758">
            <v>159.84</v>
          </cell>
          <cell r="P758">
            <v>120</v>
          </cell>
        </row>
        <row r="759">
          <cell r="F759" t="str">
            <v>LL-99-0024</v>
          </cell>
          <cell r="G759" t="str">
            <v>FlowArt Grocery Display Evergreen - Empty</v>
          </cell>
          <cell r="H759" t="str">
            <v>N</v>
          </cell>
          <cell r="I759" t="str">
            <v/>
          </cell>
          <cell r="M759">
            <v>0</v>
          </cell>
          <cell r="N759">
            <v>1</v>
          </cell>
        </row>
        <row r="760">
          <cell r="F760" t="str">
            <v>LL-00-0025</v>
          </cell>
          <cell r="G760" t="str">
            <v>FlowArt Summer Grocery Display - 24</v>
          </cell>
          <cell r="H760" t="str">
            <v>N</v>
          </cell>
          <cell r="I760" t="str">
            <v>518</v>
          </cell>
          <cell r="J760">
            <v>810076215181</v>
          </cell>
          <cell r="K760">
            <v>50810076215186</v>
          </cell>
          <cell r="L760">
            <v>30810076215182</v>
          </cell>
          <cell r="M760">
            <v>0</v>
          </cell>
          <cell r="N760">
            <v>1</v>
          </cell>
          <cell r="O760">
            <v>159.84</v>
          </cell>
          <cell r="P760">
            <v>120</v>
          </cell>
        </row>
        <row r="761">
          <cell r="F761" t="str">
            <v>LL-99-0025</v>
          </cell>
          <cell r="G761" t="str">
            <v>FlowArt Summer Grocery Display - Empty</v>
          </cell>
          <cell r="H761" t="str">
            <v>N</v>
          </cell>
          <cell r="I761" t="str">
            <v/>
          </cell>
          <cell r="M761">
            <v>0</v>
          </cell>
          <cell r="N761">
            <v>1</v>
          </cell>
        </row>
        <row r="762">
          <cell r="F762" t="str">
            <v>LL-00-0026</v>
          </cell>
          <cell r="G762" t="str">
            <v>FlowArt Fall Grocery Display - 24</v>
          </cell>
          <cell r="H762" t="str">
            <v>Y</v>
          </cell>
          <cell r="I762" t="str">
            <v>519</v>
          </cell>
          <cell r="J762">
            <v>810076215198</v>
          </cell>
          <cell r="K762">
            <v>50810076215193</v>
          </cell>
          <cell r="L762">
            <v>30810076215199</v>
          </cell>
          <cell r="M762">
            <v>0</v>
          </cell>
          <cell r="N762">
            <v>1</v>
          </cell>
          <cell r="O762">
            <v>159.84</v>
          </cell>
          <cell r="P762">
            <v>120</v>
          </cell>
        </row>
        <row r="763">
          <cell r="F763" t="str">
            <v>LL-99-0026</v>
          </cell>
          <cell r="G763" t="str">
            <v>FlowArt Fall Grocery Display - Empty</v>
          </cell>
          <cell r="H763" t="str">
            <v>N</v>
          </cell>
          <cell r="I763" t="str">
            <v/>
          </cell>
          <cell r="M763">
            <v>0</v>
          </cell>
          <cell r="N763">
            <v>1</v>
          </cell>
        </row>
        <row r="764">
          <cell r="F764" t="str">
            <v>LL-00-0026-V2</v>
          </cell>
          <cell r="G764" t="str">
            <v>FlowArt Fall Grocery Display - 24 - Version 2</v>
          </cell>
          <cell r="H764" t="str">
            <v>Y</v>
          </cell>
          <cell r="I764" t="str">
            <v/>
          </cell>
          <cell r="M764">
            <v>0</v>
          </cell>
          <cell r="N764">
            <v>1</v>
          </cell>
          <cell r="O764">
            <v>159.84</v>
          </cell>
          <cell r="P764">
            <v>80</v>
          </cell>
        </row>
        <row r="765">
          <cell r="F765" t="str">
            <v>LL-00-0027</v>
          </cell>
          <cell r="G765" t="str">
            <v>FlowArt Holiday Grocery Display - 24</v>
          </cell>
          <cell r="H765" t="str">
            <v>Y</v>
          </cell>
          <cell r="I765" t="str">
            <v>520</v>
          </cell>
          <cell r="J765">
            <v>810076215204</v>
          </cell>
          <cell r="K765">
            <v>50810076215209</v>
          </cell>
          <cell r="L765">
            <v>30810076215205</v>
          </cell>
          <cell r="M765">
            <v>0</v>
          </cell>
          <cell r="N765">
            <v>1</v>
          </cell>
          <cell r="O765">
            <v>239.76</v>
          </cell>
          <cell r="P765">
            <v>120</v>
          </cell>
        </row>
        <row r="766">
          <cell r="F766" t="str">
            <v>LL-99-0027</v>
          </cell>
          <cell r="G766" t="str">
            <v>FlowArt Holiday Grocery Display - Empty</v>
          </cell>
          <cell r="H766" t="str">
            <v>N</v>
          </cell>
          <cell r="I766" t="str">
            <v/>
          </cell>
          <cell r="M766">
            <v>0</v>
          </cell>
          <cell r="N766">
            <v>1</v>
          </cell>
          <cell r="O766">
            <v>239.76</v>
          </cell>
          <cell r="P766">
            <v>120</v>
          </cell>
        </row>
        <row r="767">
          <cell r="F767" t="str">
            <v>LL-00-0028</v>
          </cell>
          <cell r="G767" t="str">
            <v>FlowArt Mini Grocery Display - 36</v>
          </cell>
          <cell r="H767" t="str">
            <v>N</v>
          </cell>
          <cell r="I767" t="str">
            <v>521</v>
          </cell>
          <cell r="J767">
            <v>810076215211</v>
          </cell>
          <cell r="K767">
            <v>50810076215216</v>
          </cell>
          <cell r="L767">
            <v>30810076215212</v>
          </cell>
          <cell r="M767">
            <v>0</v>
          </cell>
          <cell r="N767">
            <v>1</v>
          </cell>
          <cell r="O767">
            <v>251.64000000000001</v>
          </cell>
          <cell r="P767">
            <v>126</v>
          </cell>
        </row>
        <row r="768">
          <cell r="F768" t="str">
            <v>LL-99-0028</v>
          </cell>
          <cell r="G768" t="str">
            <v>FlowArt Mini Grocery Display - Empty</v>
          </cell>
          <cell r="H768" t="str">
            <v>N</v>
          </cell>
          <cell r="I768" t="str">
            <v/>
          </cell>
          <cell r="M768">
            <v>0</v>
          </cell>
          <cell r="N768">
            <v>1</v>
          </cell>
          <cell r="O768">
            <v>251.64000000000001</v>
          </cell>
          <cell r="P768">
            <v>126</v>
          </cell>
        </row>
        <row r="769">
          <cell r="F769" t="str">
            <v>LL-00-0029</v>
          </cell>
          <cell r="G769" t="str">
            <v>FlowArt Mini Holiday Grocery Display - 36</v>
          </cell>
          <cell r="H769" t="str">
            <v>N</v>
          </cell>
          <cell r="I769" t="str">
            <v>522</v>
          </cell>
          <cell r="J769">
            <v>810076215228</v>
          </cell>
          <cell r="K769">
            <v>50810076215223</v>
          </cell>
          <cell r="L769">
            <v>30810076215229</v>
          </cell>
          <cell r="M769">
            <v>0</v>
          </cell>
          <cell r="N769">
            <v>1</v>
          </cell>
          <cell r="O769">
            <v>251.64000000000001</v>
          </cell>
          <cell r="P769">
            <v>126</v>
          </cell>
        </row>
        <row r="770">
          <cell r="F770" t="str">
            <v>LL-99-0029</v>
          </cell>
          <cell r="G770" t="str">
            <v>FlowArt Mini Holiday Grocery Display - Empty</v>
          </cell>
          <cell r="H770" t="str">
            <v>N</v>
          </cell>
          <cell r="I770" t="str">
            <v/>
          </cell>
          <cell r="M770">
            <v>0</v>
          </cell>
          <cell r="N770">
            <v>1</v>
          </cell>
          <cell r="O770">
            <v>251.64000000000001</v>
          </cell>
          <cell r="P770">
            <v>126</v>
          </cell>
        </row>
        <row r="771">
          <cell r="F771" t="str">
            <v>LL-00-0040</v>
          </cell>
          <cell r="G771" t="str">
            <v>FlowArt MINI EXPRESS - WMT - 70 - #1</v>
          </cell>
          <cell r="H771" t="str">
            <v>Y</v>
          </cell>
          <cell r="I771" t="str">
            <v/>
          </cell>
          <cell r="M771">
            <v>0</v>
          </cell>
          <cell r="N771">
            <v>1</v>
          </cell>
          <cell r="O771">
            <v>251.64000000000001</v>
          </cell>
          <cell r="P771">
            <v>126</v>
          </cell>
        </row>
        <row r="772">
          <cell r="F772" t="str">
            <v>LL-99-0040</v>
          </cell>
          <cell r="G772" t="str">
            <v>FlowArt MINI EXPRESS - WMT - EMPTY- #1</v>
          </cell>
          <cell r="H772" t="str">
            <v>N</v>
          </cell>
          <cell r="I772" t="str">
            <v/>
          </cell>
          <cell r="M772">
            <v>0</v>
          </cell>
          <cell r="N772">
            <v>1</v>
          </cell>
          <cell r="O772">
            <v>251.64000000000001</v>
          </cell>
          <cell r="P772">
            <v>126</v>
          </cell>
        </row>
        <row r="773">
          <cell r="F773" t="str">
            <v>LL-00-0041</v>
          </cell>
          <cell r="G773" t="str">
            <v>FlowArt MINI EXPRESS - WMT - 70 - #2</v>
          </cell>
          <cell r="H773" t="str">
            <v>N</v>
          </cell>
          <cell r="I773" t="str">
            <v/>
          </cell>
          <cell r="M773">
            <v>0</v>
          </cell>
          <cell r="N773">
            <v>1</v>
          </cell>
          <cell r="O773">
            <v>251.64000000000001</v>
          </cell>
          <cell r="P773">
            <v>126</v>
          </cell>
        </row>
        <row r="774">
          <cell r="F774" t="str">
            <v>LL-99-0041</v>
          </cell>
          <cell r="G774" t="str">
            <v>FlowArt MINI EXPRESS - WMT - EMPTY- #2</v>
          </cell>
          <cell r="H774" t="str">
            <v>N</v>
          </cell>
          <cell r="I774" t="str">
            <v/>
          </cell>
          <cell r="M774">
            <v>0</v>
          </cell>
          <cell r="N774">
            <v>1</v>
          </cell>
          <cell r="O774">
            <v>251.64000000000001</v>
          </cell>
          <cell r="P774">
            <v>126</v>
          </cell>
        </row>
        <row r="775">
          <cell r="F775" t="str">
            <v>LL-00-0042</v>
          </cell>
          <cell r="G775" t="str">
            <v>FlowArt MINI EXPRESS - TGT Cross-Stitch - 72 - #1</v>
          </cell>
          <cell r="H775" t="str">
            <v>Y</v>
          </cell>
          <cell r="I775" t="str">
            <v>664</v>
          </cell>
          <cell r="J775">
            <v>810076216645</v>
          </cell>
          <cell r="K775">
            <v>50810076216640</v>
          </cell>
          <cell r="L775">
            <v>30810076216646</v>
          </cell>
          <cell r="M775">
            <v>0</v>
          </cell>
          <cell r="N775">
            <v>1</v>
          </cell>
          <cell r="O775">
            <v>251.64000000000001</v>
          </cell>
          <cell r="P775">
            <v>126</v>
          </cell>
        </row>
        <row r="776">
          <cell r="F776" t="str">
            <v>LL-99-0042</v>
          </cell>
          <cell r="G776" t="str">
            <v>FlowArt MINI EXPRESS - TGT Cross-Stitch - EMPTY - #1</v>
          </cell>
          <cell r="H776" t="str">
            <v>N</v>
          </cell>
          <cell r="I776" t="str">
            <v/>
          </cell>
          <cell r="M776">
            <v>0</v>
          </cell>
          <cell r="N776">
            <v>1</v>
          </cell>
          <cell r="O776">
            <v>251.64000000000001</v>
          </cell>
          <cell r="P776">
            <v>126</v>
          </cell>
        </row>
        <row r="777">
          <cell r="F777" t="str">
            <v>LL-00-0037</v>
          </cell>
          <cell r="G777" t="str">
            <v>FlowArt Mini Holiday Pharmacy Display - 40</v>
          </cell>
          <cell r="H777" t="str">
            <v>Y</v>
          </cell>
          <cell r="I777" t="str">
            <v>647</v>
          </cell>
          <cell r="J777">
            <v>810076216478</v>
          </cell>
          <cell r="K777">
            <v>50810076216473</v>
          </cell>
          <cell r="L777">
            <v>30810076216479</v>
          </cell>
          <cell r="M777">
            <v>0</v>
          </cell>
          <cell r="N777">
            <v>1</v>
          </cell>
          <cell r="O777">
            <v>251.64000000000001</v>
          </cell>
          <cell r="P777">
            <v>126</v>
          </cell>
        </row>
        <row r="778">
          <cell r="F778" t="str">
            <v>LL-99-0037</v>
          </cell>
          <cell r="G778" t="str">
            <v>FlowArt Mini Holiday Pharmacy Display - Empty</v>
          </cell>
          <cell r="H778" t="str">
            <v>N</v>
          </cell>
          <cell r="I778" t="str">
            <v/>
          </cell>
          <cell r="J778"/>
          <cell r="K778"/>
          <cell r="L778"/>
          <cell r="M778">
            <v>0</v>
          </cell>
          <cell r="N778">
            <v>1</v>
          </cell>
          <cell r="O778">
            <v>251.64000000000001</v>
          </cell>
          <cell r="P778">
            <v>126</v>
          </cell>
        </row>
        <row r="779">
          <cell r="F779" t="str">
            <v>LL-DG-9930</v>
          </cell>
          <cell r="G779" t="str">
            <v>FlowArt Mini EXPRESS - DISPLAY 1 - EMPTY</v>
          </cell>
          <cell r="H779" t="str">
            <v>N</v>
          </cell>
          <cell r="I779" t="str">
            <v/>
          </cell>
          <cell r="M779">
            <v>0</v>
          </cell>
          <cell r="N779">
            <v>1</v>
          </cell>
        </row>
        <row r="780">
          <cell r="F780" t="str">
            <v>LL-DG-0030</v>
          </cell>
          <cell r="G780" t="str">
            <v>FlowArt Mini EXPRESS - DISPLAY 1 - 36</v>
          </cell>
          <cell r="H780" t="str">
            <v>Y</v>
          </cell>
          <cell r="I780" t="str">
            <v>557</v>
          </cell>
          <cell r="J780">
            <v>810076215570</v>
          </cell>
          <cell r="K780">
            <v>50810076215575</v>
          </cell>
          <cell r="L780">
            <v>30810076215571</v>
          </cell>
          <cell r="M780">
            <v>0</v>
          </cell>
          <cell r="N780">
            <v>1</v>
          </cell>
          <cell r="O780">
            <v>179.64000000000001</v>
          </cell>
          <cell r="P780">
            <v>80.28</v>
          </cell>
        </row>
        <row r="781">
          <cell r="F781" t="str">
            <v>LL-DG-0031</v>
          </cell>
          <cell r="G781" t="str">
            <v>FlowArt Mini EXPRESS - DISPLAY 2 - 36</v>
          </cell>
          <cell r="H781" t="str">
            <v>N</v>
          </cell>
          <cell r="I781" t="str">
            <v>558</v>
          </cell>
          <cell r="J781">
            <v>810076215587</v>
          </cell>
          <cell r="K781">
            <v>50810076215582</v>
          </cell>
          <cell r="L781">
            <v>30810076215588</v>
          </cell>
          <cell r="M781">
            <v>0</v>
          </cell>
          <cell r="N781">
            <v>1</v>
          </cell>
          <cell r="O781">
            <v>179.64000000000001</v>
          </cell>
          <cell r="P781">
            <v>80.28</v>
          </cell>
        </row>
        <row r="782">
          <cell r="F782" t="str">
            <v>LL-99-0039</v>
          </cell>
          <cell r="G782" t="str">
            <v>FlowArt MINI Spring Display - Empty</v>
          </cell>
          <cell r="H782" t="str">
            <v>N</v>
          </cell>
          <cell r="I782" t="str">
            <v/>
          </cell>
          <cell r="M782">
            <v>0</v>
          </cell>
          <cell r="N782">
            <v>1</v>
          </cell>
        </row>
        <row r="783">
          <cell r="F783" t="str">
            <v>LL-00-0039</v>
          </cell>
          <cell r="G783" t="str">
            <v>FlowArt MINI Spring Display - 36</v>
          </cell>
          <cell r="H783" t="str">
            <v>Y</v>
          </cell>
          <cell r="I783" t="str">
            <v>634</v>
          </cell>
          <cell r="J783">
            <v>810076216348</v>
          </cell>
          <cell r="K783">
            <v>50810076216343</v>
          </cell>
          <cell r="L783">
            <v>30810076216349</v>
          </cell>
          <cell r="M783">
            <v>0</v>
          </cell>
          <cell r="N783">
            <v>1</v>
          </cell>
          <cell r="O783">
            <v>143.76</v>
          </cell>
          <cell r="P783">
            <v>120</v>
          </cell>
        </row>
        <row r="784">
          <cell r="F784" t="str">
            <v>LL-99-0038</v>
          </cell>
          <cell r="G784" t="str">
            <v>FlowArt Spring Display - Empty</v>
          </cell>
          <cell r="H784" t="str">
            <v>N</v>
          </cell>
          <cell r="I784" t="str">
            <v/>
          </cell>
          <cell r="M784">
            <v>0</v>
          </cell>
          <cell r="N784">
            <v>1</v>
          </cell>
        </row>
        <row r="785">
          <cell r="F785" t="str">
            <v>LL-00-0038</v>
          </cell>
          <cell r="G785" t="str">
            <v>FlowArt Spring Display - 24</v>
          </cell>
          <cell r="H785" t="str">
            <v>Y</v>
          </cell>
          <cell r="I785" t="str">
            <v>632</v>
          </cell>
          <cell r="J785">
            <v>810076216324</v>
          </cell>
          <cell r="K785">
            <v>50810076216329</v>
          </cell>
          <cell r="L785">
            <v>30810076216325</v>
          </cell>
          <cell r="M785">
            <v>0</v>
          </cell>
          <cell r="N785">
            <v>1</v>
          </cell>
          <cell r="O785">
            <v>239.76</v>
          </cell>
          <cell r="P785">
            <v>120</v>
          </cell>
        </row>
        <row r="786">
          <cell r="F786" t="str">
            <v>LL-99-0033</v>
          </cell>
          <cell r="G786" t="str">
            <v>FlowArt Valentine Display - Empty</v>
          </cell>
          <cell r="H786" t="str">
            <v>N</v>
          </cell>
          <cell r="I786" t="str">
            <v/>
          </cell>
          <cell r="M786">
            <v>0</v>
          </cell>
          <cell r="N786">
            <v>1</v>
          </cell>
        </row>
        <row r="787">
          <cell r="F787" t="str">
            <v>LL-00-0033</v>
          </cell>
          <cell r="G787" t="str">
            <v>FlowArt Valentine Display - 24</v>
          </cell>
          <cell r="H787" t="str">
            <v>Y</v>
          </cell>
          <cell r="I787" t="str">
            <v>576</v>
          </cell>
          <cell r="J787">
            <v>810076215761</v>
          </cell>
          <cell r="K787">
            <v>50810076215766</v>
          </cell>
          <cell r="L787">
            <v>30810076215762</v>
          </cell>
          <cell r="M787">
            <v>0</v>
          </cell>
          <cell r="N787">
            <v>1</v>
          </cell>
          <cell r="O787">
            <v>239.76</v>
          </cell>
          <cell r="P787">
            <v>120</v>
          </cell>
        </row>
        <row r="788">
          <cell r="F788" t="str">
            <v>LL-00-0043</v>
          </cell>
          <cell r="G788" t="str">
            <v>FA Mini - Fixed Assortment - 6</v>
          </cell>
          <cell r="H788" t="str">
            <v>Y</v>
          </cell>
          <cell r="I788" t="str">
            <v>678</v>
          </cell>
          <cell r="J788">
            <v>810076216782</v>
          </cell>
          <cell r="K788">
            <v>50810076216787</v>
          </cell>
          <cell r="L788">
            <v>30810076216783</v>
          </cell>
          <cell r="M788">
            <v>0</v>
          </cell>
          <cell r="N788">
            <v>1</v>
          </cell>
          <cell r="O788"/>
          <cell r="P788"/>
        </row>
        <row r="789">
          <cell r="F789" t="str">
            <v>LL-00-0016</v>
          </cell>
          <cell r="G789" t="str">
            <v>FA - Counter Display - Full - 36</v>
          </cell>
          <cell r="H789" t="str">
            <v>Y</v>
          </cell>
          <cell r="I789" t="str">
            <v>439</v>
          </cell>
          <cell r="J789">
            <v>810076214399</v>
          </cell>
          <cell r="K789">
            <v>50810076214394</v>
          </cell>
          <cell r="L789">
            <v>30810076214390</v>
          </cell>
          <cell r="M789">
            <v>0</v>
          </cell>
          <cell r="N789">
            <v>1</v>
          </cell>
          <cell r="P789">
            <v>180</v>
          </cell>
        </row>
        <row r="790">
          <cell r="F790" t="str">
            <v>LL-DISP-FA1</v>
          </cell>
          <cell r="G790" t="str">
            <v>MT 2026 - FA Display - 80</v>
          </cell>
          <cell r="H790" t="str">
            <v>Y</v>
          </cell>
          <cell r="I790" t="str">
            <v/>
          </cell>
          <cell r="M790">
            <v>0</v>
          </cell>
          <cell r="N790">
            <v>1</v>
          </cell>
        </row>
        <row r="791">
          <cell r="F791" t="str">
            <v>LL-00-0004</v>
          </cell>
          <cell r="G791" t="str">
            <v>FlowArt - Spinner Tower - Empty</v>
          </cell>
          <cell r="H791" t="str">
            <v>N</v>
          </cell>
          <cell r="I791" t="str">
            <v>317</v>
          </cell>
          <cell r="J791">
            <v>810076213170</v>
          </cell>
          <cell r="K791">
            <v>50810076213175</v>
          </cell>
          <cell r="L791">
            <v>30810076213171</v>
          </cell>
          <cell r="M791">
            <v>0</v>
          </cell>
          <cell r="N791">
            <v>1</v>
          </cell>
        </row>
        <row r="792">
          <cell r="F792" t="str">
            <v>LL-00-0018</v>
          </cell>
          <cell r="G792" t="str">
            <v>FlowArt - Spinner Tower - Full - 80</v>
          </cell>
          <cell r="H792" t="str">
            <v>Y</v>
          </cell>
          <cell r="I792" t="str">
            <v>441</v>
          </cell>
          <cell r="J792">
            <v>810076214412</v>
          </cell>
          <cell r="K792">
            <v>50810076214417</v>
          </cell>
          <cell r="L792">
            <v>30810076214413</v>
          </cell>
          <cell r="M792">
            <v>0</v>
          </cell>
          <cell r="N792">
            <v>1</v>
          </cell>
          <cell r="P792">
            <v>400</v>
          </cell>
        </row>
        <row r="793">
          <cell r="F793" t="str">
            <v>LL-00-0036</v>
          </cell>
          <cell r="G793" t="str">
            <v>FlowArt - DBL - Full - 4</v>
          </cell>
          <cell r="H793" t="str">
            <v>Y</v>
          </cell>
          <cell r="I793" t="str">
            <v>611</v>
          </cell>
          <cell r="J793">
            <v>810076216119</v>
          </cell>
          <cell r="K793">
            <v>50810076216114</v>
          </cell>
          <cell r="L793">
            <v>30810076216110</v>
          </cell>
          <cell r="M793">
            <v>0</v>
          </cell>
          <cell r="N793">
            <v>1</v>
          </cell>
        </row>
        <row r="794">
          <cell r="F794" t="str">
            <v>LL-99-0036</v>
          </cell>
          <cell r="G794" t="str">
            <v>FlowArt - DBL - Empty - 4</v>
          </cell>
          <cell r="H794" t="str">
            <v>N</v>
          </cell>
          <cell r="I794" t="str">
            <v>612</v>
          </cell>
          <cell r="J794">
            <v>810076216126</v>
          </cell>
          <cell r="K794">
            <v>50810076216121</v>
          </cell>
          <cell r="L794">
            <v>30810076216127</v>
          </cell>
          <cell r="M794">
            <v>0</v>
          </cell>
          <cell r="N794">
            <v>1</v>
          </cell>
        </row>
        <row r="795">
          <cell r="F795" t="str">
            <v>LL-TOTE-BAG1</v>
          </cell>
          <cell r="G795" t="str">
            <v>Lifelines Tote</v>
          </cell>
          <cell r="H795" t="str">
            <v>N</v>
          </cell>
          <cell r="I795" t="str">
            <v/>
          </cell>
          <cell r="J795"/>
          <cell r="K795"/>
          <cell r="L795"/>
          <cell r="M795">
            <v>0</v>
          </cell>
          <cell r="N795">
            <v>100</v>
          </cell>
          <cell r="O795"/>
          <cell r="P795"/>
        </row>
        <row r="796">
          <cell r="F796" t="str">
            <v>LL-01-2026</v>
          </cell>
          <cell r="G796" t="str">
            <v>2026 Product Catalogue</v>
          </cell>
          <cell r="H796" t="str">
            <v>N</v>
          </cell>
          <cell r="I796" t="str">
            <v>413</v>
          </cell>
          <cell r="J796">
            <v>810076214139</v>
          </cell>
          <cell r="K796">
            <v>50810076214134</v>
          </cell>
          <cell r="L796">
            <v>30810076214130</v>
          </cell>
          <cell r="M796">
            <v>0</v>
          </cell>
          <cell r="N796">
            <v>1</v>
          </cell>
        </row>
        <row r="797">
          <cell r="F797" t="str">
            <v>LL-02-2026</v>
          </cell>
          <cell r="G797" t="str">
            <v>2026 Product Catalogue - H2</v>
          </cell>
          <cell r="H797" t="str">
            <v>N</v>
          </cell>
          <cell r="I797" t="str">
            <v/>
          </cell>
          <cell r="M797">
            <v>0</v>
          </cell>
          <cell r="N797">
            <v>1</v>
          </cell>
        </row>
        <row r="798">
          <cell r="F798" t="str">
            <v>LL-DISP-FA-SP26</v>
          </cell>
          <cell r="G798" t="str">
            <v>MT 2026 - FA Spring / Summer - 36</v>
          </cell>
          <cell r="H798" t="str">
            <v>Y</v>
          </cell>
          <cell r="I798" t="str">
            <v>473</v>
          </cell>
          <cell r="J798">
            <v>810076214733</v>
          </cell>
          <cell r="K798">
            <v>50810076214738</v>
          </cell>
          <cell r="L798">
            <v>30810076214734</v>
          </cell>
          <cell r="M798">
            <v>0</v>
          </cell>
          <cell r="N798">
            <v>1</v>
          </cell>
        </row>
        <row r="799">
          <cell r="F799" t="str">
            <v>LL-DISP-FA-FA26</v>
          </cell>
          <cell r="G799" t="str">
            <v>MT 2026 - FA Fall - 24</v>
          </cell>
          <cell r="H799" t="str">
            <v>Y</v>
          </cell>
          <cell r="I799" t="str">
            <v>474</v>
          </cell>
          <cell r="J799">
            <v>810076214740</v>
          </cell>
          <cell r="K799">
            <v>50810076214745</v>
          </cell>
          <cell r="L799">
            <v>30810076214741</v>
          </cell>
          <cell r="M799">
            <v>0</v>
          </cell>
          <cell r="N799">
            <v>1</v>
          </cell>
        </row>
        <row r="800">
          <cell r="F800" t="str">
            <v>LL-DISP-FA-WN26</v>
          </cell>
          <cell r="G800" t="str">
            <v>MT 2026 - FA Winter - 24</v>
          </cell>
          <cell r="H800" t="str">
            <v>Y</v>
          </cell>
          <cell r="I800" t="str">
            <v>475</v>
          </cell>
          <cell r="J800">
            <v>810076214757</v>
          </cell>
          <cell r="K800">
            <v>50810076214752</v>
          </cell>
          <cell r="L800">
            <v>30810076214758</v>
          </cell>
          <cell r="M800">
            <v>0</v>
          </cell>
          <cell r="N800">
            <v>1</v>
          </cell>
        </row>
        <row r="801">
          <cell r="F801" t="str">
            <v>LL-DISP-WR2</v>
          </cell>
          <cell r="G801" t="str">
            <v>MT 2026 - Writing Display - 32</v>
          </cell>
          <cell r="H801" t="str">
            <v>Y</v>
          </cell>
          <cell r="I801" t="str">
            <v/>
          </cell>
          <cell r="M801">
            <v>0</v>
          </cell>
          <cell r="N801">
            <v>1</v>
          </cell>
        </row>
        <row r="802">
          <cell r="F802" t="str">
            <v>LL-DISP-WR1</v>
          </cell>
          <cell r="G802" t="str">
            <v>MT 2026 - Writing Display - 46</v>
          </cell>
          <cell r="H802" t="str">
            <v>Y</v>
          </cell>
          <cell r="I802" t="str">
            <v/>
          </cell>
          <cell r="M802">
            <v>0</v>
          </cell>
          <cell r="N802">
            <v>1</v>
          </cell>
        </row>
        <row r="803">
          <cell r="F803" t="str">
            <v>LL-RO-FA48</v>
          </cell>
          <cell r="G803" t="str">
            <v>MT 2026 - FA REORDER - 48</v>
          </cell>
          <cell r="H803" t="str">
            <v>Y</v>
          </cell>
          <cell r="I803" t="str">
            <v/>
          </cell>
          <cell r="M803">
            <v>0</v>
          </cell>
          <cell r="N803">
            <v>1</v>
          </cell>
        </row>
        <row r="804">
          <cell r="F804" t="str">
            <v>LL-TWR-FA160</v>
          </cell>
          <cell r="G804" t="str">
            <v>MT 2026 - FA Tower - 160</v>
          </cell>
          <cell r="H804" t="str">
            <v>Y</v>
          </cell>
          <cell r="I804" t="str">
            <v/>
          </cell>
          <cell r="M804">
            <v>0</v>
          </cell>
          <cell r="N804">
            <v>1</v>
          </cell>
        </row>
        <row r="805">
          <cell r="F805" t="str">
            <v>LL-DISP-FA2</v>
          </cell>
          <cell r="G805" t="str">
            <v>MT 2026 - FA Display - 36</v>
          </cell>
          <cell r="H805" t="str">
            <v>Y</v>
          </cell>
          <cell r="I805" t="str">
            <v/>
          </cell>
          <cell r="J805"/>
          <cell r="K805"/>
          <cell r="L805"/>
          <cell r="M805">
            <v>0</v>
          </cell>
          <cell r="N805">
            <v>1</v>
          </cell>
          <cell r="O805"/>
          <cell r="P805"/>
        </row>
        <row r="806">
          <cell r="F806" t="str">
            <v>LL-00-0009</v>
          </cell>
          <cell r="G806" t="str">
            <v>Meijer - Grounding Stone Shipper</v>
          </cell>
          <cell r="H806" t="str">
            <v>N</v>
          </cell>
          <cell r="I806" t="str">
            <v>373</v>
          </cell>
          <cell r="J806">
            <v>810076213736</v>
          </cell>
          <cell r="K806">
            <v>50810076213731</v>
          </cell>
          <cell r="L806">
            <v>30810076213737</v>
          </cell>
          <cell r="M806">
            <v>1</v>
          </cell>
          <cell r="N806">
            <v>1</v>
          </cell>
        </row>
        <row r="807">
          <cell r="F807" t="str">
            <v>99-9101</v>
          </cell>
          <cell r="G807" t="str">
            <v>Assortment, PDQ - Oil Blends</v>
          </cell>
          <cell r="H807" t="str">
            <v>N</v>
          </cell>
          <cell r="I807" t="str">
            <v/>
          </cell>
          <cell r="J807" t="str">
            <v/>
          </cell>
          <cell r="K807" t="str">
            <v/>
          </cell>
          <cell r="L807" t="str">
            <v/>
          </cell>
        </row>
        <row r="808">
          <cell r="F808" t="str">
            <v>99-9500</v>
          </cell>
          <cell r="G808" t="str">
            <v>Assortment, PDQ - Scented Writing Essentials</v>
          </cell>
          <cell r="H808" t="str">
            <v>N</v>
          </cell>
          <cell r="I808" t="str">
            <v/>
          </cell>
          <cell r="J808" t="str">
            <v/>
          </cell>
          <cell r="K808" t="str">
            <v/>
          </cell>
          <cell r="L808" t="str">
            <v/>
          </cell>
        </row>
        <row r="809">
          <cell r="F809" t="str">
            <v>99-9505</v>
          </cell>
          <cell r="G809" t="str">
            <v>Tabletop Writing Display - Assortment</v>
          </cell>
          <cell r="H809" t="str">
            <v>N</v>
          </cell>
          <cell r="I809" t="str">
            <v/>
          </cell>
          <cell r="J809" t="str">
            <v/>
          </cell>
          <cell r="K809" t="str">
            <v/>
          </cell>
          <cell r="L809" t="str">
            <v/>
          </cell>
        </row>
        <row r="810">
          <cell r="F810" t="str">
            <v>DS01-1001</v>
          </cell>
          <cell r="G810" t="str">
            <v>TYT Journal + CMA Pen + Pencils</v>
          </cell>
          <cell r="H810" t="str">
            <v>N</v>
          </cell>
          <cell r="I810" t="str">
            <v/>
          </cell>
          <cell r="J810" t="str">
            <v/>
          </cell>
          <cell r="K810" t="str">
            <v/>
          </cell>
          <cell r="L810" t="str">
            <v/>
          </cell>
        </row>
        <row r="811">
          <cell r="F811" t="str">
            <v>DS01-1002</v>
          </cell>
          <cell r="G811" t="str">
            <v>SIU BG + CMA Pen + Pencils</v>
          </cell>
          <cell r="H811" t="str">
            <v>N</v>
          </cell>
          <cell r="I811" t="str">
            <v/>
          </cell>
          <cell r="J811" t="str">
            <v/>
          </cell>
          <cell r="K811" t="str">
            <v/>
          </cell>
          <cell r="L811" t="str">
            <v/>
          </cell>
        </row>
        <row r="812">
          <cell r="F812" t="str">
            <v>DS01-1003</v>
          </cell>
          <cell r="G812" t="str">
            <v>Everyday Diffuser + Discovery</v>
          </cell>
          <cell r="H812" t="str">
            <v>N</v>
          </cell>
          <cell r="I812" t="str">
            <v/>
          </cell>
          <cell r="J812" t="str">
            <v/>
          </cell>
          <cell r="K812" t="str">
            <v/>
          </cell>
          <cell r="L812" t="str">
            <v/>
          </cell>
        </row>
        <row r="813">
          <cell r="F813" t="str">
            <v>DS01-1004</v>
          </cell>
          <cell r="G813" t="str">
            <v>Waves + CMA 4Pck</v>
          </cell>
          <cell r="H813" t="str">
            <v>N</v>
          </cell>
          <cell r="I813" t="str">
            <v/>
          </cell>
          <cell r="J813" t="str">
            <v/>
          </cell>
          <cell r="K813" t="str">
            <v/>
          </cell>
          <cell r="L813" t="str">
            <v/>
          </cell>
        </row>
        <row r="814">
          <cell r="F814" t="str">
            <v>DS01-1005</v>
          </cell>
          <cell r="G814" t="str">
            <v>Motion Fidget + Discovery</v>
          </cell>
          <cell r="H814" t="str">
            <v>N</v>
          </cell>
          <cell r="I814" t="str">
            <v/>
          </cell>
          <cell r="J814" t="str">
            <v/>
          </cell>
          <cell r="K814" t="str">
            <v/>
          </cell>
          <cell r="L814" t="str">
            <v/>
          </cell>
        </row>
        <row r="815">
          <cell r="F815" t="str">
            <v>DS01-1006</v>
          </cell>
          <cell r="G815" t="str">
            <v>Meditative Fidget + Discovery</v>
          </cell>
          <cell r="H815" t="str">
            <v>N</v>
          </cell>
          <cell r="I815" t="str">
            <v/>
          </cell>
          <cell r="J815" t="str">
            <v/>
          </cell>
          <cell r="K815" t="str">
            <v/>
          </cell>
          <cell r="L815" t="str">
            <v/>
          </cell>
        </row>
        <row r="816">
          <cell r="F816" t="str">
            <v>DS01-1007</v>
          </cell>
          <cell r="G816" t="str">
            <v>Gift Set + CMA Pen + Workbook</v>
          </cell>
          <cell r="H816" t="str">
            <v>N</v>
          </cell>
          <cell r="I816" t="str">
            <v/>
          </cell>
          <cell r="J816" t="str">
            <v/>
          </cell>
          <cell r="K816" t="str">
            <v/>
          </cell>
          <cell r="L816" t="str">
            <v/>
          </cell>
        </row>
        <row r="817">
          <cell r="F817" t="str">
            <v>DS01-1008</v>
          </cell>
          <cell r="G817" t="str">
            <v>Lifelines Bath and Shower Diffuser Set</v>
          </cell>
          <cell r="H817" t="str">
            <v>N</v>
          </cell>
          <cell r="I817" t="str">
            <v/>
          </cell>
          <cell r="J817" t="str">
            <v/>
          </cell>
          <cell r="K817" t="str">
            <v/>
          </cell>
          <cell r="L817" t="str">
            <v/>
          </cell>
        </row>
        <row r="818">
          <cell r="F818" t="str">
            <v>99-8302</v>
          </cell>
          <cell r="G818" t="str">
            <v>2024 BNC Spring Shipper Replen</v>
          </cell>
          <cell r="H818" t="str">
            <v>N</v>
          </cell>
          <cell r="I818" t="str">
            <v/>
          </cell>
          <cell r="J818" t="str">
            <v/>
          </cell>
          <cell r="K818" t="str">
            <v/>
          </cell>
          <cell r="L818" t="str">
            <v/>
          </cell>
        </row>
        <row r="819">
          <cell r="F819" t="str">
            <v>99-8501</v>
          </cell>
          <cell r="G819" t="str">
            <v>BNC Writing Counter Display</v>
          </cell>
          <cell r="H819" t="str">
            <v>Y</v>
          </cell>
          <cell r="I819" t="str">
            <v/>
          </cell>
          <cell r="J819" t="str">
            <v/>
          </cell>
          <cell r="K819" t="str">
            <v/>
          </cell>
          <cell r="L819" t="str">
            <v/>
          </cell>
        </row>
        <row r="820">
          <cell r="F820" t="str">
            <v>99-9002</v>
          </cell>
          <cell r="G820" t="str">
            <v>Assortment, PDQ - Aroma Introduction</v>
          </cell>
          <cell r="H820" t="str">
            <v>N</v>
          </cell>
          <cell r="I820" t="str">
            <v/>
          </cell>
          <cell r="J820" t="str">
            <v/>
          </cell>
          <cell r="K820" t="str">
            <v/>
          </cell>
          <cell r="L820" t="str">
            <v/>
          </cell>
        </row>
        <row r="821">
          <cell r="F821">
            <v>999003</v>
          </cell>
          <cell r="G821" t="str">
            <v>BNC Floor Display</v>
          </cell>
          <cell r="H821" t="str">
            <v>N</v>
          </cell>
          <cell r="I821" t="str">
            <v/>
          </cell>
          <cell r="J821" t="str">
            <v/>
          </cell>
          <cell r="K821" t="str">
            <v/>
          </cell>
          <cell r="L821" t="str">
            <v/>
          </cell>
          <cell r="M821" t="str">
            <v/>
          </cell>
          <cell r="N821" t="str">
            <v/>
          </cell>
        </row>
        <row r="822">
          <cell r="F822">
            <v>999004</v>
          </cell>
          <cell r="G822" t="str">
            <v>Empty BNC Floor Display</v>
          </cell>
          <cell r="H822" t="str">
            <v>N</v>
          </cell>
          <cell r="I822" t="str">
            <v/>
          </cell>
          <cell r="J822" t="str">
            <v/>
          </cell>
          <cell r="K822" t="str">
            <v/>
          </cell>
          <cell r="L822" t="str">
            <v/>
          </cell>
          <cell r="M822" t="str">
            <v/>
          </cell>
          <cell r="N822" t="str">
            <v/>
          </cell>
        </row>
        <row r="823">
          <cell r="F823" t="str">
            <v>LL-98-3220</v>
          </cell>
          <cell r="G823" t="str">
            <v>FlowArt 2Pck:TbLetter + Within [3206 + 3207]</v>
          </cell>
          <cell r="H823" t="str">
            <v>N</v>
          </cell>
          <cell r="I823" t="str">
            <v>392</v>
          </cell>
          <cell r="J823">
            <v>810076213927</v>
          </cell>
          <cell r="K823">
            <v>50810076213922</v>
          </cell>
          <cell r="L823">
            <v>30810076213928</v>
          </cell>
          <cell r="M823"/>
          <cell r="N823">
            <v>20</v>
          </cell>
          <cell r="O823">
            <v>29.99</v>
          </cell>
          <cell r="P823">
            <v>14.994999999999999</v>
          </cell>
        </row>
        <row r="824">
          <cell r="F824" t="str">
            <v>LL-20-3304</v>
          </cell>
          <cell r="G824" t="str">
            <v>FlowArt: Mini, Holiday 3Pck #2</v>
          </cell>
          <cell r="H824" t="str">
            <v>Y</v>
          </cell>
          <cell r="I824" t="str">
            <v>491</v>
          </cell>
          <cell r="J824">
            <v>810076214917</v>
          </cell>
          <cell r="K824">
            <v>50810076214912</v>
          </cell>
          <cell r="L824">
            <v>30810076214918</v>
          </cell>
          <cell r="M824"/>
          <cell r="N824"/>
        </row>
        <row r="825">
          <cell r="F825" t="str">
            <v>LL-20-3226</v>
          </cell>
          <cell r="G825" t="str">
            <v>FlowArt: Mini, 3Pck #3</v>
          </cell>
          <cell r="H825" t="str">
            <v>N</v>
          </cell>
          <cell r="I825" t="str">
            <v>398</v>
          </cell>
          <cell r="J825">
            <v>810076213989</v>
          </cell>
          <cell r="K825">
            <v>50810076213984</v>
          </cell>
          <cell r="L825">
            <v>30810076213980</v>
          </cell>
          <cell r="M825">
            <v>4</v>
          </cell>
          <cell r="N825">
            <v>12</v>
          </cell>
          <cell r="O825">
            <v>19.989999999999998</v>
          </cell>
          <cell r="P825">
            <v>9.9949999999999992</v>
          </cell>
        </row>
        <row r="826">
          <cell r="F826" t="str">
            <v>LL-12-3280</v>
          </cell>
          <cell r="G826" t="str">
            <v>Find Your Path Journal + Pen Gift Set - WMT</v>
          </cell>
          <cell r="H826" t="str">
            <v>N</v>
          </cell>
          <cell r="I826" t="str">
            <v>462</v>
          </cell>
          <cell r="J826">
            <v>810076214627</v>
          </cell>
          <cell r="K826">
            <v>50810076214622</v>
          </cell>
          <cell r="L826">
            <v>30810076214628</v>
          </cell>
          <cell r="M826">
            <v>4</v>
          </cell>
          <cell r="N826">
            <v>12</v>
          </cell>
          <cell r="O826">
            <v>15</v>
          </cell>
          <cell r="P826">
            <v>7.5</v>
          </cell>
        </row>
        <row r="827">
          <cell r="F827" t="str">
            <v>LL-20-3252</v>
          </cell>
          <cell r="G827" t="str">
            <v>FlowArt: Mini Single - Holiday Cheer</v>
          </cell>
          <cell r="H827" t="str">
            <v>Y</v>
          </cell>
          <cell r="I827" t="str">
            <v>426</v>
          </cell>
          <cell r="J827">
            <v>810076214269</v>
          </cell>
          <cell r="K827">
            <v>50810076214264</v>
          </cell>
          <cell r="L827">
            <v>30810076214260</v>
          </cell>
          <cell r="M827">
            <v>6</v>
          </cell>
          <cell r="N827">
            <v>24</v>
          </cell>
          <cell r="O827">
            <v>6.99</v>
          </cell>
          <cell r="P827">
            <v>3.4950000000000001</v>
          </cell>
        </row>
        <row r="828">
          <cell r="F828" t="str">
            <v>LL-20-3253</v>
          </cell>
          <cell r="G828" t="str">
            <v>FlowArt: Mini Single - Sugar &amp; Spice</v>
          </cell>
          <cell r="H828" t="str">
            <v>Y</v>
          </cell>
          <cell r="I828" t="str">
            <v>427</v>
          </cell>
          <cell r="J828">
            <v>810076214276</v>
          </cell>
          <cell r="K828">
            <v>50810076214271</v>
          </cell>
          <cell r="L828">
            <v>30810076214277</v>
          </cell>
          <cell r="M828">
            <v>6</v>
          </cell>
          <cell r="N828">
            <v>24</v>
          </cell>
          <cell r="O828">
            <v>6.99</v>
          </cell>
          <cell r="P828">
            <v>3.4950000000000001</v>
          </cell>
        </row>
        <row r="829">
          <cell r="F829" t="str">
            <v>LL-20-3254</v>
          </cell>
          <cell r="G829" t="str">
            <v>FlowArt: Mini Single - Merry &amp; Bright</v>
          </cell>
          <cell r="H829" t="str">
            <v>Y</v>
          </cell>
          <cell r="I829" t="str">
            <v>428</v>
          </cell>
          <cell r="J829">
            <v>810076214283</v>
          </cell>
          <cell r="K829">
            <v>50810076214288</v>
          </cell>
          <cell r="L829">
            <v>30810076214284</v>
          </cell>
          <cell r="M829">
            <v>6</v>
          </cell>
          <cell r="N829">
            <v>24</v>
          </cell>
          <cell r="O829">
            <v>6.99</v>
          </cell>
          <cell r="P829">
            <v>3.4950000000000001</v>
          </cell>
        </row>
        <row r="830">
          <cell r="F830" t="str">
            <v>LL-20-3268</v>
          </cell>
          <cell r="G830" t="str">
            <v>FlowArt Minis: Nature's Wonder - WMT</v>
          </cell>
          <cell r="H830" t="str">
            <v>N</v>
          </cell>
          <cell r="I830" t="str">
            <v>450</v>
          </cell>
          <cell r="J830">
            <v>810076214504</v>
          </cell>
          <cell r="K830">
            <v>50810076214509</v>
          </cell>
          <cell r="L830">
            <v>30810076214505</v>
          </cell>
          <cell r="M830">
            <v>6</v>
          </cell>
          <cell r="N830">
            <v>24</v>
          </cell>
          <cell r="O830">
            <v>6.99</v>
          </cell>
          <cell r="P830">
            <v>3.4950000000000001</v>
          </cell>
        </row>
        <row r="831">
          <cell r="F831" t="str">
            <v>LL-20-3269</v>
          </cell>
          <cell r="G831" t="str">
            <v>FlowArt Minis: Furry Friends - WMT</v>
          </cell>
          <cell r="H831" t="str">
            <v>N</v>
          </cell>
          <cell r="I831" t="str">
            <v>451</v>
          </cell>
          <cell r="J831">
            <v>810076214511</v>
          </cell>
          <cell r="K831">
            <v>50810076214516</v>
          </cell>
          <cell r="L831">
            <v>30810076214512</v>
          </cell>
          <cell r="M831">
            <v>6</v>
          </cell>
          <cell r="N831">
            <v>24</v>
          </cell>
          <cell r="O831">
            <v>6.99</v>
          </cell>
          <cell r="P831">
            <v>3.4950000000000001</v>
          </cell>
        </row>
        <row r="832">
          <cell r="F832" t="str">
            <v>LL-20-3270</v>
          </cell>
          <cell r="G832" t="str">
            <v>FlowArt Minis: Pretty Petals - WMT</v>
          </cell>
          <cell r="H832" t="str">
            <v>N</v>
          </cell>
          <cell r="I832" t="str">
            <v>452</v>
          </cell>
          <cell r="J832">
            <v>810076214528</v>
          </cell>
          <cell r="K832">
            <v>50810076214523</v>
          </cell>
          <cell r="L832">
            <v>30810076214529</v>
          </cell>
          <cell r="M832">
            <v>6</v>
          </cell>
          <cell r="N832">
            <v>24</v>
          </cell>
          <cell r="O832">
            <v>6.99</v>
          </cell>
          <cell r="P832">
            <v>3.4950000000000001</v>
          </cell>
        </row>
        <row r="833">
          <cell r="F833" t="str">
            <v>LL-16-3262</v>
          </cell>
          <cell r="G833" t="str">
            <v>FlowArt Trace By Line: Holiday Icons  - WMT</v>
          </cell>
          <cell r="H833" t="str">
            <v>N</v>
          </cell>
          <cell r="I833" t="str">
            <v>444</v>
          </cell>
          <cell r="J833">
            <v>810076214443</v>
          </cell>
          <cell r="K833">
            <v>50810076214448</v>
          </cell>
          <cell r="L833">
            <v>30810076214444</v>
          </cell>
          <cell r="M833">
            <v>6</v>
          </cell>
          <cell r="N833">
            <v>24</v>
          </cell>
          <cell r="O833">
            <v>10</v>
          </cell>
          <cell r="P833">
            <v>5</v>
          </cell>
        </row>
        <row r="834">
          <cell r="F834" t="str">
            <v>LL-16-3264</v>
          </cell>
          <cell r="G834" t="str">
            <v>FlowArt Dot-By-Letter: Woodland Wonders - WMT</v>
          </cell>
          <cell r="H834" t="str">
            <v>N</v>
          </cell>
          <cell r="I834" t="str">
            <v>446</v>
          </cell>
          <cell r="J834">
            <v>810076214467</v>
          </cell>
          <cell r="K834">
            <v>50810076214462</v>
          </cell>
          <cell r="L834">
            <v>30810076214468</v>
          </cell>
          <cell r="M834">
            <v>6</v>
          </cell>
          <cell r="N834">
            <v>24</v>
          </cell>
          <cell r="O834">
            <v>10</v>
          </cell>
          <cell r="P834">
            <v>5</v>
          </cell>
        </row>
        <row r="835">
          <cell r="F835" t="str">
            <v>LL-16-3265</v>
          </cell>
          <cell r="G835" t="str">
            <v>FlowArt Dot-By Letter: Majestic Earth - WMT [Metallic]</v>
          </cell>
          <cell r="H835" t="str">
            <v>N</v>
          </cell>
          <cell r="I835" t="str">
            <v>447</v>
          </cell>
          <cell r="J835">
            <v>810076214474</v>
          </cell>
          <cell r="K835">
            <v>50810076214479</v>
          </cell>
          <cell r="L835">
            <v>30810076214475</v>
          </cell>
          <cell r="M835">
            <v>6</v>
          </cell>
          <cell r="N835">
            <v>24</v>
          </cell>
          <cell r="O835">
            <v>10</v>
          </cell>
          <cell r="P835">
            <v>5</v>
          </cell>
        </row>
        <row r="836">
          <cell r="F836" t="str">
            <v>LL-16-3260</v>
          </cell>
          <cell r="G836" t="str">
            <v>FlowArt Dot-By-Letter: Holiday Classic  - WMT</v>
          </cell>
          <cell r="H836" t="str">
            <v>N</v>
          </cell>
          <cell r="I836" t="str">
            <v>442</v>
          </cell>
          <cell r="J836">
            <v>810076214429</v>
          </cell>
          <cell r="K836">
            <v>50810076214424</v>
          </cell>
          <cell r="L836">
            <v>30810076214420</v>
          </cell>
          <cell r="M836">
            <v>6</v>
          </cell>
          <cell r="N836">
            <v>24</v>
          </cell>
          <cell r="O836">
            <v>10</v>
          </cell>
          <cell r="P836">
            <v>5</v>
          </cell>
        </row>
        <row r="837">
          <cell r="F837" t="str">
            <v>LL-16-3267</v>
          </cell>
          <cell r="G837" t="str">
            <v>FlowArt Trace By Line: Sea Life Wonders - WMT</v>
          </cell>
          <cell r="H837" t="str">
            <v>N</v>
          </cell>
          <cell r="I837" t="str">
            <v>449</v>
          </cell>
          <cell r="J837">
            <v>810076214498</v>
          </cell>
          <cell r="K837">
            <v>50810076214493</v>
          </cell>
          <cell r="L837">
            <v>30810076214499</v>
          </cell>
          <cell r="M837">
            <v>6</v>
          </cell>
          <cell r="N837">
            <v>24</v>
          </cell>
          <cell r="O837">
            <v>10</v>
          </cell>
          <cell r="P837">
            <v>5</v>
          </cell>
        </row>
        <row r="838">
          <cell r="F838" t="str">
            <v>LL-16-3282</v>
          </cell>
          <cell r="G838" t="str">
            <v>FlowArt Dot-By-Letter Metallic Theme TBD 2 - WMT</v>
          </cell>
          <cell r="H838" t="str">
            <v>N</v>
          </cell>
          <cell r="I838" t="str">
            <v>469</v>
          </cell>
          <cell r="J838">
            <v>810076214696</v>
          </cell>
          <cell r="K838">
            <v>50810076214691</v>
          </cell>
          <cell r="L838">
            <v>30810076214697</v>
          </cell>
          <cell r="M838">
            <v>6</v>
          </cell>
          <cell r="N838">
            <v>24</v>
          </cell>
          <cell r="O838">
            <v>10</v>
          </cell>
          <cell r="P838">
            <v>5</v>
          </cell>
        </row>
        <row r="839">
          <cell r="F839" t="str">
            <v>LL-16-3143</v>
          </cell>
          <cell r="G839" t="str">
            <v>FlowArt: Illuminate &amp; Create, Wildlife - WALMART PKG</v>
          </cell>
          <cell r="H839" t="str">
            <v>N</v>
          </cell>
          <cell r="I839" t="str">
            <v>286</v>
          </cell>
          <cell r="J839">
            <v>810076212869</v>
          </cell>
          <cell r="K839">
            <v>50810076212864</v>
          </cell>
          <cell r="L839">
            <v>30810076212860</v>
          </cell>
        </row>
        <row r="840">
          <cell r="F840" t="str">
            <v>LL-12-3131</v>
          </cell>
          <cell r="G840" t="str">
            <v>Scented Lava Pen Set- 5-pack  - WALMART PKG</v>
          </cell>
          <cell r="H840" t="str">
            <v>Y</v>
          </cell>
          <cell r="I840" t="str">
            <v>274</v>
          </cell>
          <cell r="J840">
            <v>810076212746</v>
          </cell>
          <cell r="K840">
            <v>50810076212741</v>
          </cell>
          <cell r="L840">
            <v>30810076212747</v>
          </cell>
        </row>
        <row r="841">
          <cell r="F841" t="str">
            <v>LL-16-3142</v>
          </cell>
          <cell r="G841" t="str">
            <v>FlowArt: Illuminate &amp; Create, Foliage and Flowers - WALMART PKG</v>
          </cell>
          <cell r="H841" t="str">
            <v>Y</v>
          </cell>
          <cell r="I841" t="str">
            <v>285</v>
          </cell>
          <cell r="J841">
            <v>810076212852</v>
          </cell>
          <cell r="K841">
            <v>50810076212857</v>
          </cell>
          <cell r="L841">
            <v>30810076212853</v>
          </cell>
        </row>
        <row r="842">
          <cell r="F842" t="str">
            <v>LL-12-3135</v>
          </cell>
          <cell r="G842" t="str">
            <v>Pen Diffuser with Essential Oil Blends -  Strawberry Milkshake - WALMART PKG</v>
          </cell>
          <cell r="H842" t="str">
            <v>Y</v>
          </cell>
          <cell r="I842" t="str">
            <v>278</v>
          </cell>
          <cell r="J842">
            <v>810076212784</v>
          </cell>
          <cell r="K842">
            <v>50810076212789</v>
          </cell>
          <cell r="L842">
            <v>30810076212785</v>
          </cell>
        </row>
        <row r="843">
          <cell r="F843" t="str">
            <v>LL-12-3134</v>
          </cell>
          <cell r="G843" t="str">
            <v>Scented Lava Pen Set - 2-pack (Lime Green / Violet)  - WALMART PKG</v>
          </cell>
          <cell r="H843" t="str">
            <v>N</v>
          </cell>
          <cell r="I843" t="str">
            <v>277</v>
          </cell>
          <cell r="J843">
            <v>810076212777</v>
          </cell>
          <cell r="K843">
            <v>50810076212772</v>
          </cell>
          <cell r="L843">
            <v>30810076212778</v>
          </cell>
        </row>
        <row r="844">
          <cell r="F844" t="str">
            <v>LL-14-3145</v>
          </cell>
          <cell r="G844" t="str">
            <v>DIFFUSER, LED,Bubble (Cream) - WALMART PKG</v>
          </cell>
          <cell r="H844" t="str">
            <v>N</v>
          </cell>
          <cell r="I844" t="str">
            <v>288</v>
          </cell>
          <cell r="J844">
            <v>810076212883</v>
          </cell>
          <cell r="K844">
            <v>50810076212888</v>
          </cell>
          <cell r="L844">
            <v>30810076212884</v>
          </cell>
        </row>
        <row r="845">
          <cell r="F845" t="str">
            <v>LL-14-3147</v>
          </cell>
          <cell r="G845" t="str">
            <v>Plant Diffuser - Succulent - Two Toned - WALMART PKG</v>
          </cell>
          <cell r="H845" t="str">
            <v>N</v>
          </cell>
          <cell r="I845" t="str">
            <v>290</v>
          </cell>
          <cell r="J845">
            <v>810076212906</v>
          </cell>
          <cell r="K845">
            <v>50810076212901</v>
          </cell>
          <cell r="L845">
            <v>30810076212907</v>
          </cell>
        </row>
        <row r="846">
          <cell r="F846" t="str">
            <v>LL-98-3171</v>
          </cell>
          <cell r="G846" t="str">
            <v>Ultimate Essential Oil Gift Set with EDPD - WALMART PKG</v>
          </cell>
          <cell r="H846" t="str">
            <v>N</v>
          </cell>
          <cell r="I846" t="str">
            <v>315</v>
          </cell>
          <cell r="J846">
            <v>810076213156</v>
          </cell>
          <cell r="K846">
            <v>50810076213151</v>
          </cell>
          <cell r="L846">
            <v>30810076213157</v>
          </cell>
        </row>
        <row r="847">
          <cell r="F847" t="str">
            <v>LL-12-3271</v>
          </cell>
          <cell r="G847" t="str">
            <v>Scented Glitter Pen 3-Pack - WMT</v>
          </cell>
          <cell r="H847" t="str">
            <v>N</v>
          </cell>
          <cell r="I847" t="str">
            <v>453</v>
          </cell>
          <cell r="J847">
            <v>810076214535</v>
          </cell>
          <cell r="K847">
            <v>50810076214530</v>
          </cell>
          <cell r="L847">
            <v>30810076214536</v>
          </cell>
          <cell r="M847">
            <v>4</v>
          </cell>
          <cell r="N847">
            <v>12</v>
          </cell>
          <cell r="O847">
            <v>10</v>
          </cell>
          <cell r="P847">
            <v>5</v>
          </cell>
        </row>
        <row r="848">
          <cell r="F848" t="str">
            <v>LL-12-3272</v>
          </cell>
          <cell r="G848" t="str">
            <v>Scented Lava Pen 3-Pack - WMT</v>
          </cell>
          <cell r="H848" t="str">
            <v>N</v>
          </cell>
          <cell r="I848" t="str">
            <v>454</v>
          </cell>
          <cell r="J848">
            <v>810076214542</v>
          </cell>
          <cell r="K848">
            <v>50810076214547</v>
          </cell>
          <cell r="L848">
            <v>30810076214543</v>
          </cell>
          <cell r="M848">
            <v>4</v>
          </cell>
          <cell r="N848">
            <v>12</v>
          </cell>
          <cell r="O848">
            <v>10</v>
          </cell>
          <cell r="P848">
            <v>5</v>
          </cell>
        </row>
        <row r="849">
          <cell r="F849" t="str">
            <v>LL-12-3273</v>
          </cell>
          <cell r="G849" t="str">
            <v>Scented Pen Discovery Set 3-Pack - WMT</v>
          </cell>
          <cell r="H849" t="str">
            <v>N</v>
          </cell>
          <cell r="I849" t="str">
            <v>455</v>
          </cell>
          <cell r="J849">
            <v>810076214559</v>
          </cell>
          <cell r="K849">
            <v>50810076214554</v>
          </cell>
          <cell r="L849">
            <v>30810076214550</v>
          </cell>
          <cell r="M849">
            <v>4</v>
          </cell>
          <cell r="N849">
            <v>12</v>
          </cell>
          <cell r="O849">
            <v>10</v>
          </cell>
          <cell r="P849">
            <v>5</v>
          </cell>
        </row>
        <row r="850">
          <cell r="F850" t="str">
            <v>LL-12-3274</v>
          </cell>
          <cell r="G850" t="str">
            <v>Scented Marker 10-Pack - WMT</v>
          </cell>
          <cell r="H850" t="str">
            <v>N</v>
          </cell>
          <cell r="I850" t="str">
            <v>456</v>
          </cell>
          <cell r="J850">
            <v>810076214566</v>
          </cell>
          <cell r="K850">
            <v>50810076214561</v>
          </cell>
          <cell r="L850">
            <v>30810076214567</v>
          </cell>
          <cell r="M850">
            <v>4</v>
          </cell>
          <cell r="N850">
            <v>12</v>
          </cell>
          <cell r="O850">
            <v>10</v>
          </cell>
          <cell r="P850">
            <v>5</v>
          </cell>
        </row>
        <row r="851">
          <cell r="F851" t="str">
            <v>LL-11-3087</v>
          </cell>
          <cell r="G851" t="str">
            <v>Clickwick 2PK - SKU 5</v>
          </cell>
          <cell r="H851" t="str">
            <v>N</v>
          </cell>
          <cell r="I851" t="str">
            <v>215</v>
          </cell>
          <cell r="J851">
            <v>810076212159</v>
          </cell>
          <cell r="K851">
            <v>50810076212154</v>
          </cell>
          <cell r="L851">
            <v>30810076212150</v>
          </cell>
          <cell r="M851"/>
          <cell r="N851"/>
          <cell r="O851">
            <v>26.99</v>
          </cell>
          <cell r="P851">
            <v>13.494999999999999</v>
          </cell>
        </row>
        <row r="852">
          <cell r="F852" t="str">
            <v>LL-11-3088</v>
          </cell>
          <cell r="G852" t="str">
            <v>Clickwick 2PK - SKU 6</v>
          </cell>
          <cell r="H852" t="str">
            <v>N</v>
          </cell>
          <cell r="I852" t="str">
            <v>216</v>
          </cell>
          <cell r="J852">
            <v>810076212166</v>
          </cell>
          <cell r="K852">
            <v>50810076212161</v>
          </cell>
          <cell r="L852">
            <v>30810076212167</v>
          </cell>
          <cell r="M852"/>
          <cell r="N852"/>
          <cell r="O852">
            <v>14.99</v>
          </cell>
          <cell r="P852">
            <v>7.4950000000000001</v>
          </cell>
        </row>
        <row r="853">
          <cell r="F853" t="str">
            <v>LL-11-3089</v>
          </cell>
          <cell r="G853" t="str">
            <v>Clickwick 2PK - SKU 7</v>
          </cell>
          <cell r="H853" t="str">
            <v>N</v>
          </cell>
          <cell r="I853" t="str">
            <v>217</v>
          </cell>
          <cell r="J853">
            <v>810076212173</v>
          </cell>
          <cell r="K853">
            <v>50810076212178</v>
          </cell>
          <cell r="L853">
            <v>30810076212174</v>
          </cell>
          <cell r="M853"/>
          <cell r="N853"/>
          <cell r="O853">
            <v>14.99</v>
          </cell>
          <cell r="P853">
            <v>7.4950000000000001</v>
          </cell>
        </row>
        <row r="854">
          <cell r="F854">
            <v>165002</v>
          </cell>
          <cell r="G854" t="str">
            <v>FlowArt - Pattern art - Fur &amp; feathers</v>
          </cell>
          <cell r="H854" t="str">
            <v>N</v>
          </cell>
          <cell r="I854" t="str">
            <v>147</v>
          </cell>
          <cell r="J854">
            <v>810076211473</v>
          </cell>
          <cell r="K854" t="str">
            <v/>
          </cell>
          <cell r="L854" t="str">
            <v/>
          </cell>
          <cell r="M854" t="str">
            <v/>
          </cell>
          <cell r="N854" t="str">
            <v/>
          </cell>
        </row>
        <row r="855">
          <cell r="F855">
            <v>165003</v>
          </cell>
          <cell r="G855" t="str">
            <v>FlowArt - Multiline art - Land</v>
          </cell>
          <cell r="H855" t="str">
            <v>N</v>
          </cell>
          <cell r="I855" t="str">
            <v>148</v>
          </cell>
          <cell r="J855">
            <v>810076211480</v>
          </cell>
          <cell r="K855" t="str">
            <v/>
          </cell>
          <cell r="L855" t="str">
            <v/>
          </cell>
          <cell r="M855" t="str">
            <v/>
          </cell>
          <cell r="N855" t="str">
            <v/>
          </cell>
        </row>
        <row r="856">
          <cell r="F856">
            <v>165004</v>
          </cell>
          <cell r="G856" t="str">
            <v>FlowArt - Mosaic art - Flora &amp; Fauna</v>
          </cell>
          <cell r="H856" t="str">
            <v>Y</v>
          </cell>
          <cell r="I856" t="str">
            <v>149</v>
          </cell>
          <cell r="J856">
            <v>810076211497</v>
          </cell>
          <cell r="K856" t="str">
            <v/>
          </cell>
          <cell r="L856" t="str">
            <v/>
          </cell>
          <cell r="M856" t="str">
            <v/>
          </cell>
          <cell r="N856" t="str">
            <v/>
          </cell>
        </row>
        <row r="857">
          <cell r="F857">
            <v>165010</v>
          </cell>
          <cell r="G857" t="str">
            <v>FlowArt - Pogo-dot - In the Garden</v>
          </cell>
          <cell r="H857" t="str">
            <v>N</v>
          </cell>
          <cell r="I857" t="str">
            <v>155</v>
          </cell>
          <cell r="J857">
            <v>810076211558</v>
          </cell>
          <cell r="K857" t="str">
            <v/>
          </cell>
          <cell r="L857" t="str">
            <v/>
          </cell>
          <cell r="M857" t="str">
            <v/>
          </cell>
          <cell r="N857" t="str">
            <v/>
          </cell>
        </row>
        <row r="858">
          <cell r="F858">
            <v>165011</v>
          </cell>
          <cell r="G858" t="str">
            <v>FlowArt - Dot-pop - Sea</v>
          </cell>
          <cell r="H858" t="str">
            <v>N</v>
          </cell>
          <cell r="I858" t="str">
            <v>156</v>
          </cell>
          <cell r="J858">
            <v>810076211565</v>
          </cell>
          <cell r="K858" t="str">
            <v/>
          </cell>
          <cell r="L858" t="str">
            <v/>
          </cell>
          <cell r="M858" t="str">
            <v/>
          </cell>
          <cell r="N858" t="str">
            <v/>
          </cell>
        </row>
        <row r="859">
          <cell r="F859">
            <v>165013</v>
          </cell>
          <cell r="G859" t="str">
            <v>FlowArt - Multiline art - Sea</v>
          </cell>
          <cell r="H859" t="str">
            <v>N</v>
          </cell>
          <cell r="I859" t="str">
            <v>158</v>
          </cell>
          <cell r="J859">
            <v>810076211589</v>
          </cell>
          <cell r="K859" t="str">
            <v/>
          </cell>
          <cell r="L859" t="str">
            <v/>
          </cell>
          <cell r="M859" t="str">
            <v/>
          </cell>
          <cell r="N859" t="str">
            <v/>
          </cell>
        </row>
        <row r="860">
          <cell r="F860">
            <v>167003</v>
          </cell>
          <cell r="G860" t="str">
            <v>Decor Art - Stencil Stationery</v>
          </cell>
          <cell r="H860" t="str">
            <v>N</v>
          </cell>
          <cell r="I860" t="str">
            <v>162</v>
          </cell>
          <cell r="J860">
            <v>810076211626</v>
          </cell>
          <cell r="K860" t="str">
            <v/>
          </cell>
          <cell r="L860" t="str">
            <v/>
          </cell>
          <cell r="M860" t="str">
            <v/>
          </cell>
          <cell r="N860" t="str">
            <v/>
          </cell>
        </row>
        <row r="861">
          <cell r="F861" t="str">
            <v>11-1613</v>
          </cell>
          <cell r="G861" t="str">
            <v>DIFFUSER, LED,Frosted Glass (Amber)</v>
          </cell>
          <cell r="H861" t="str">
            <v>N</v>
          </cell>
          <cell r="I861" t="str">
            <v>088</v>
          </cell>
          <cell r="J861">
            <v>810076210889</v>
          </cell>
          <cell r="K861" t="str">
            <v/>
          </cell>
          <cell r="L861" t="str">
            <v/>
          </cell>
        </row>
        <row r="862">
          <cell r="F862" t="str">
            <v>11-1614</v>
          </cell>
          <cell r="G862" t="str">
            <v>DIFFUSER, LED,Vertical Ribbed (White)</v>
          </cell>
          <cell r="H862" t="str">
            <v>N</v>
          </cell>
          <cell r="I862" t="str">
            <v>089</v>
          </cell>
          <cell r="J862">
            <v>810076210896</v>
          </cell>
          <cell r="K862" t="str">
            <v/>
          </cell>
          <cell r="L862" t="str">
            <v/>
          </cell>
        </row>
        <row r="863">
          <cell r="F863" t="str">
            <v>11-1615</v>
          </cell>
          <cell r="G863" t="str">
            <v>DIFFUSER, LED, Two Tone</v>
          </cell>
          <cell r="H863" t="str">
            <v>N</v>
          </cell>
          <cell r="I863" t="str">
            <v>090</v>
          </cell>
          <cell r="J863">
            <v>810076210902</v>
          </cell>
          <cell r="K863" t="str">
            <v/>
          </cell>
          <cell r="L863" t="str">
            <v/>
          </cell>
        </row>
        <row r="864">
          <cell r="F864" t="str">
            <v>11-1610</v>
          </cell>
          <cell r="G864" t="str">
            <v>Planter Diffuser -  Octagon (Cream)</v>
          </cell>
          <cell r="H864" t="str">
            <v>N</v>
          </cell>
          <cell r="I864" t="str">
            <v>095</v>
          </cell>
          <cell r="J864">
            <v>810076210957</v>
          </cell>
          <cell r="K864" t="str">
            <v/>
          </cell>
          <cell r="L864" t="str">
            <v/>
          </cell>
        </row>
        <row r="865">
          <cell r="F865" t="str">
            <v>16-0107</v>
          </cell>
          <cell r="G865" t="str">
            <v>Finger Maze Sensory Journal</v>
          </cell>
          <cell r="H865" t="str">
            <v>N</v>
          </cell>
          <cell r="I865" t="str">
            <v>100</v>
          </cell>
          <cell r="J865">
            <v>810076211008</v>
          </cell>
          <cell r="K865" t="str">
            <v/>
          </cell>
          <cell r="L865" t="str">
            <v/>
          </cell>
        </row>
        <row r="866">
          <cell r="F866" t="str">
            <v>LL-11-2522</v>
          </cell>
          <cell r="G866" t="str">
            <v>Lifelines Pen Diffuser with Essential Oil Blends -Diner (UO exclusive)</v>
          </cell>
          <cell r="H866" t="str">
            <v>N</v>
          </cell>
          <cell r="I866" t="str">
            <v>225</v>
          </cell>
          <cell r="J866">
            <v>810076212258</v>
          </cell>
          <cell r="K866">
            <v>50810076212253</v>
          </cell>
          <cell r="L866">
            <v>30810076212259</v>
          </cell>
          <cell r="M866"/>
          <cell r="N866"/>
          <cell r="O866">
            <v>39.99</v>
          </cell>
          <cell r="P866">
            <v>19.995000000000001</v>
          </cell>
        </row>
        <row r="867">
          <cell r="F867" t="str">
            <v>LL-11-2523</v>
          </cell>
          <cell r="G867" t="str">
            <v>Lifelines Pen Diffuser with Essential Oil Blends -Café  (UO exclusive)</v>
          </cell>
          <cell r="H867" t="str">
            <v>N</v>
          </cell>
          <cell r="I867" t="str">
            <v>226</v>
          </cell>
          <cell r="J867">
            <v>810076212265</v>
          </cell>
          <cell r="K867">
            <v>50810076212260</v>
          </cell>
          <cell r="L867">
            <v>30810076212266</v>
          </cell>
          <cell r="M867"/>
          <cell r="N867"/>
          <cell r="O867">
            <v>39.99</v>
          </cell>
          <cell r="P867">
            <v>19.995000000000001</v>
          </cell>
        </row>
        <row r="868">
          <cell r="F868" t="str">
            <v>LL-12-3238</v>
          </cell>
          <cell r="G868" t="str">
            <v>Mindful Motion Pen, Swirl 2Pck (X / X)</v>
          </cell>
          <cell r="H868" t="str">
            <v>Y</v>
          </cell>
          <cell r="I868" t="str">
            <v>412</v>
          </cell>
          <cell r="J868">
            <v>810076214122</v>
          </cell>
          <cell r="K868">
            <v>50810076214127</v>
          </cell>
          <cell r="L868">
            <v>30810076214123</v>
          </cell>
          <cell r="M868">
            <v>4</v>
          </cell>
          <cell r="N868">
            <v>12</v>
          </cell>
          <cell r="O868">
            <v>12.99</v>
          </cell>
          <cell r="P868">
            <v>6.4950000000000001</v>
          </cell>
        </row>
        <row r="869">
          <cell r="F869">
            <v>989518</v>
          </cell>
          <cell r="G869" t="str">
            <v>Lifelines Frosted Cream Candle with Clickwick (11-1603 &amp; 110455 Woodsy)</v>
          </cell>
          <cell r="H869" t="str">
            <v>N</v>
          </cell>
          <cell r="I869" t="str">
            <v>139</v>
          </cell>
          <cell r="J869">
            <v>810076211398</v>
          </cell>
          <cell r="K869" t="str">
            <v/>
          </cell>
          <cell r="L869" t="str">
            <v/>
          </cell>
          <cell r="M869"/>
          <cell r="N869"/>
          <cell r="O869">
            <v>41.98</v>
          </cell>
          <cell r="P869">
            <v>20.99</v>
          </cell>
        </row>
        <row r="870">
          <cell r="F870">
            <v>989519</v>
          </cell>
          <cell r="G870" t="str">
            <v>Lifelines Frosted Charcoal Candle with Clickwick (11-1612 &amp; 110454 Citrus/Bloom)</v>
          </cell>
          <cell r="H870" t="str">
            <v>N</v>
          </cell>
          <cell r="I870" t="str">
            <v>140</v>
          </cell>
          <cell r="J870">
            <v>810076211404</v>
          </cell>
          <cell r="K870" t="str">
            <v/>
          </cell>
          <cell r="L870" t="str">
            <v/>
          </cell>
          <cell r="M870"/>
          <cell r="N870"/>
          <cell r="O870">
            <v>41.98</v>
          </cell>
          <cell r="P870">
            <v>20.99</v>
          </cell>
        </row>
        <row r="871">
          <cell r="F871">
            <v>989520</v>
          </cell>
          <cell r="G871" t="str">
            <v>Lifelines Grass Planter with Clickwick (11-1608 &amp; 110454 citrus)</v>
          </cell>
          <cell r="H871" t="str">
            <v>N</v>
          </cell>
          <cell r="I871" t="str">
            <v>141</v>
          </cell>
          <cell r="J871">
            <v>810076211411</v>
          </cell>
          <cell r="K871" t="str">
            <v/>
          </cell>
          <cell r="L871" t="str">
            <v/>
          </cell>
          <cell r="M871"/>
          <cell r="N871"/>
          <cell r="O871">
            <v>41.98</v>
          </cell>
          <cell r="P871">
            <v>20.99</v>
          </cell>
        </row>
        <row r="872">
          <cell r="F872" t="str">
            <v>11-0451</v>
          </cell>
          <cell r="G872" t="str">
            <v>Clickwick Replacement Bloom, Citrus</v>
          </cell>
          <cell r="H872" t="str">
            <v>Y</v>
          </cell>
          <cell r="I872" t="str">
            <v>047</v>
          </cell>
          <cell r="J872">
            <v>810076210476</v>
          </cell>
          <cell r="K872" t="str">
            <v/>
          </cell>
          <cell r="L872" t="str">
            <v/>
          </cell>
          <cell r="O872">
            <v>11.99</v>
          </cell>
          <cell r="P872">
            <v>5.9950000000000001</v>
          </cell>
        </row>
        <row r="873">
          <cell r="F873" t="str">
            <v>99-9502</v>
          </cell>
          <cell r="G873" t="str">
            <v>Pen Display - Empty</v>
          </cell>
          <cell r="H873" t="str">
            <v>Y</v>
          </cell>
          <cell r="I873" t="str">
            <v/>
          </cell>
          <cell r="L873" t="str">
            <v/>
          </cell>
          <cell r="O873">
            <v>11.99</v>
          </cell>
          <cell r="P873">
            <v>5.9950000000000001</v>
          </cell>
        </row>
        <row r="874">
          <cell r="F874" t="str">
            <v>11-0452</v>
          </cell>
          <cell r="G874" t="str">
            <v>Clickwick Replacement Woods, Mountain</v>
          </cell>
          <cell r="H874" t="str">
            <v>Y</v>
          </cell>
          <cell r="I874" t="str">
            <v>048</v>
          </cell>
          <cell r="J874">
            <v>810076210483</v>
          </cell>
          <cell r="K874" t="str">
            <v/>
          </cell>
          <cell r="L874" t="str">
            <v/>
          </cell>
          <cell r="O874">
            <v>11.99</v>
          </cell>
          <cell r="P874">
            <v>5.9950000000000001</v>
          </cell>
        </row>
        <row r="875">
          <cell r="F875" t="str">
            <v>112522</v>
          </cell>
          <cell r="H875" t="str">
            <v>N</v>
          </cell>
          <cell r="I875" t="str">
            <v>193</v>
          </cell>
          <cell r="J875">
            <v>810076211930</v>
          </cell>
          <cell r="K875" t="str">
            <v/>
          </cell>
          <cell r="L875" t="str">
            <v/>
          </cell>
          <cell r="M875" t="str">
            <v/>
          </cell>
          <cell r="N875" t="str">
            <v/>
          </cell>
          <cell r="O875">
            <v>9.99</v>
          </cell>
          <cell r="P875">
            <v>4.9950000000000001</v>
          </cell>
        </row>
        <row r="876">
          <cell r="F876" t="str">
            <v>99-9501</v>
          </cell>
          <cell r="G876" t="str">
            <v xml:space="preserve">Pen Diffuser Assortment - 30 ct </v>
          </cell>
          <cell r="H876" t="str">
            <v>N</v>
          </cell>
          <cell r="I876" t="str">
            <v>077</v>
          </cell>
          <cell r="J876">
            <v>810076210773</v>
          </cell>
          <cell r="K876" t="str">
            <v/>
          </cell>
          <cell r="L876" t="str">
            <v/>
          </cell>
          <cell r="M876">
            <v>0</v>
          </cell>
          <cell r="N876">
            <v>1</v>
          </cell>
          <cell r="O876">
            <v>300</v>
          </cell>
          <cell r="P876">
            <v>150</v>
          </cell>
        </row>
        <row r="877">
          <cell r="F877" t="str">
            <v>11-1618</v>
          </cell>
          <cell r="G877" t="str">
            <v>DIFFUSER, LED,Winter Edition (Frosted Green)</v>
          </cell>
          <cell r="H877" t="str">
            <v>Y</v>
          </cell>
          <cell r="I877" t="str">
            <v/>
          </cell>
        </row>
        <row r="878">
          <cell r="F878" t="str">
            <v>98-9220</v>
          </cell>
          <cell r="G878" t="str">
            <v>Candle + Oil  BOX Set  (4 oils) - Frosted Cream Candle</v>
          </cell>
          <cell r="H878" t="str">
            <v>N</v>
          </cell>
          <cell r="I878" t="str">
            <v/>
          </cell>
        </row>
        <row r="879">
          <cell r="F879" t="str">
            <v>LL-25-3275</v>
          </cell>
          <cell r="G879" t="str">
            <v>Scented Palm Calms 1 - Zen Garden - WMT</v>
          </cell>
          <cell r="H879" t="str">
            <v>N</v>
          </cell>
          <cell r="I879" t="str">
            <v>457</v>
          </cell>
          <cell r="J879">
            <v>810076214573</v>
          </cell>
          <cell r="K879">
            <v>50810076214578</v>
          </cell>
          <cell r="L879">
            <v>30810076214574</v>
          </cell>
          <cell r="M879">
            <v>4</v>
          </cell>
          <cell r="N879">
            <v>12</v>
          </cell>
          <cell r="O879">
            <v>15</v>
          </cell>
          <cell r="P879">
            <v>7.5</v>
          </cell>
        </row>
        <row r="880">
          <cell r="F880" t="str">
            <v>LL-25-3276</v>
          </cell>
          <cell r="G880" t="str">
            <v>Scented Palm Calms 2 - Spa Serenity - WMT</v>
          </cell>
          <cell r="H880" t="str">
            <v>N</v>
          </cell>
          <cell r="I880" t="str">
            <v>458</v>
          </cell>
          <cell r="J880">
            <v>810076214580</v>
          </cell>
          <cell r="K880">
            <v>50810076214585</v>
          </cell>
          <cell r="L880">
            <v>30810076214581</v>
          </cell>
          <cell r="M880">
            <v>4</v>
          </cell>
          <cell r="N880">
            <v>12</v>
          </cell>
          <cell r="O880">
            <v>15</v>
          </cell>
          <cell r="P880">
            <v>7.5</v>
          </cell>
        </row>
        <row r="881">
          <cell r="F881" t="str">
            <v>LL-25-3283</v>
          </cell>
          <cell r="G881" t="str">
            <v>Scented Palm Calms 4 - Zen Meditation - WMT</v>
          </cell>
          <cell r="H881" t="str">
            <v>N</v>
          </cell>
          <cell r="I881" t="str">
            <v>463</v>
          </cell>
          <cell r="J881">
            <v>810076214634</v>
          </cell>
          <cell r="K881">
            <v>50810076214639</v>
          </cell>
          <cell r="L881">
            <v>30810076214635</v>
          </cell>
          <cell r="M881">
            <v>4</v>
          </cell>
          <cell r="N881">
            <v>12</v>
          </cell>
          <cell r="O881">
            <v>15</v>
          </cell>
          <cell r="P881">
            <v>7.5</v>
          </cell>
        </row>
        <row r="882">
          <cell r="F882" t="str">
            <v>LL-25-3284</v>
          </cell>
          <cell r="G882" t="str">
            <v>Scented Palm Calms 5 - Forest Friends - WMT</v>
          </cell>
          <cell r="H882" t="str">
            <v>N</v>
          </cell>
          <cell r="I882" t="str">
            <v>464</v>
          </cell>
          <cell r="J882">
            <v>810076214641</v>
          </cell>
          <cell r="K882">
            <v>50810076214646</v>
          </cell>
          <cell r="L882">
            <v>30810076214642</v>
          </cell>
          <cell r="M882">
            <v>4</v>
          </cell>
          <cell r="N882">
            <v>12</v>
          </cell>
          <cell r="O882">
            <v>15</v>
          </cell>
          <cell r="P882">
            <v>7.5</v>
          </cell>
        </row>
        <row r="883">
          <cell r="F883" t="str">
            <v>LL-25-3285</v>
          </cell>
          <cell r="G883" t="str">
            <v>Scented Palm Calms 6 - Animal Friends - WMT</v>
          </cell>
          <cell r="H883" t="str">
            <v>N</v>
          </cell>
          <cell r="I883" t="str">
            <v>465</v>
          </cell>
          <cell r="J883">
            <v>810076214658</v>
          </cell>
          <cell r="K883">
            <v>50810076214653</v>
          </cell>
          <cell r="L883">
            <v>30810076214659</v>
          </cell>
          <cell r="M883">
            <v>4</v>
          </cell>
          <cell r="N883">
            <v>12</v>
          </cell>
          <cell r="O883">
            <v>15</v>
          </cell>
          <cell r="P883">
            <v>7.5</v>
          </cell>
        </row>
        <row r="884">
          <cell r="F884" t="str">
            <v>LL-25-3286</v>
          </cell>
          <cell r="G884" t="str">
            <v>Scented Palm Calms 7 - Writers Desk -  WMT</v>
          </cell>
          <cell r="H884" t="str">
            <v>N</v>
          </cell>
          <cell r="I884" t="str">
            <v>466</v>
          </cell>
          <cell r="J884">
            <v>810076214665</v>
          </cell>
          <cell r="K884">
            <v>50810076214660</v>
          </cell>
          <cell r="L884">
            <v>30810076214666</v>
          </cell>
          <cell r="M884">
            <v>4</v>
          </cell>
          <cell r="N884">
            <v>12</v>
          </cell>
          <cell r="O884">
            <v>15</v>
          </cell>
          <cell r="P884">
            <v>7.5</v>
          </cell>
        </row>
        <row r="885">
          <cell r="F885" t="str">
            <v>LL-25-3287</v>
          </cell>
          <cell r="G885" t="str">
            <v>Scented Palm Calms 8 - Little Books -  WMT</v>
          </cell>
          <cell r="H885" t="str">
            <v>N</v>
          </cell>
          <cell r="I885" t="str">
            <v>467</v>
          </cell>
          <cell r="J885">
            <v>810076214672</v>
          </cell>
          <cell r="K885">
            <v>50810076214677</v>
          </cell>
          <cell r="L885">
            <v>30810076214673</v>
          </cell>
          <cell r="M885">
            <v>4</v>
          </cell>
          <cell r="N885">
            <v>12</v>
          </cell>
          <cell r="O885">
            <v>15</v>
          </cell>
          <cell r="P885">
            <v>7.5</v>
          </cell>
        </row>
        <row r="886">
          <cell r="F886" t="str">
            <v>LL-25-3278</v>
          </cell>
          <cell r="G886" t="str">
            <v>Scented Palm Calms Discovery Set - WMT</v>
          </cell>
          <cell r="H886" t="str">
            <v>N</v>
          </cell>
          <cell r="I886" t="str">
            <v>460</v>
          </cell>
          <cell r="J886">
            <v>810076214603</v>
          </cell>
          <cell r="K886">
            <v>50810076214608</v>
          </cell>
          <cell r="L886">
            <v>30810076214604</v>
          </cell>
          <cell r="M886">
            <v>4</v>
          </cell>
          <cell r="N886">
            <v>12</v>
          </cell>
          <cell r="O886">
            <v>10</v>
          </cell>
          <cell r="P886">
            <v>5</v>
          </cell>
        </row>
        <row r="1511">
          <cell r="F1511" t="str">
            <v>=IF(RC5=RC1, "", VLOOKUP(RC5, SBOM!C6:C7, 2, FALSE))</v>
          </cell>
        </row>
      </sheetData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700" row="7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4EE3999C-3B52-43F2-8FD6-E6B658D34512}">
  <we:reference id="wa200003784" version="1.2.0.2" store="en-US" storeType="OMEX"/>
  <we:alternateReferences>
    <we:reference id="WA200003784" version="1.2.0.2" store="WA200003784" storeType="OMEX"/>
  </we:alternateReferences>
  <we:properties/>
  <we:bindings/>
  <we:snapshot xmlns:r="http://schemas.openxmlformats.org/officeDocument/2006/relationships"/>
  <we:extLst>
    <a:ext xmlns:a="http://schemas.openxmlformats.org/drawingml/2006/main" uri="{D87F86FE-615C-45B5-9D79-34F1136793EB}">
      <we:containsCustomFunctions/>
    </a:ext>
  </we:extLst>
</we:webextension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K177"/>
  <sheetViews>
    <sheetView tabSelected="1" zoomScale="80" workbookViewId="0">
      <pane ySplit="4" topLeftCell="A5" activePane="bottomLeft" state="frozen"/>
      <selection pane="bottomLeft" activeCell="F5" sqref="F5"/>
    </sheetView>
  </sheetViews>
  <sheetFormatPr defaultRowHeight="13.5"/>
  <cols>
    <col min="1" max="1" width="18.9375" bestFit="1" customWidth="1"/>
    <col min="2" max="2" width="10.75" bestFit="1" customWidth="1"/>
    <col min="3" max="3" width="15.125" style="1" bestFit="1" customWidth="1"/>
    <col min="4" max="4" width="54.6875" bestFit="1" customWidth="1"/>
    <col min="5" max="5" width="17.6875" bestFit="1" customWidth="1"/>
    <col min="6" max="6" width="15.875" style="2" bestFit="1" customWidth="1"/>
  </cols>
  <sheetData>
    <row r="1" spans="1:6">
      <c r="A1" s="6" t="s">
        <v>0</v>
      </c>
      <c r="B1" s="6"/>
      <c r="C1" s="6"/>
      <c r="D1" s="6"/>
      <c r="E1" s="6"/>
      <c r="F1" s="6"/>
    </row>
    <row r="2" spans="1:6">
      <c r="A2" s="6" t="s">
        <v>1</v>
      </c>
      <c r="B2" s="6"/>
      <c r="C2" s="6"/>
      <c r="D2" s="6"/>
      <c r="E2" s="6"/>
      <c r="F2" s="6"/>
    </row>
    <row r="4" spans="1:6">
      <c r="A4" t="s">
        <v>2</v>
      </c>
      <c r="B4" s="3" t="s">
        <v>3</v>
      </c>
      <c r="C4" s="1" t="s">
        <v>4</v>
      </c>
      <c r="D4" s="3" t="s">
        <v>58</v>
      </c>
      <c r="E4" t="s">
        <v>5</v>
      </c>
      <c r="F4" s="4" t="s">
        <v>6</v>
      </c>
    </row>
    <row r="5" spans="1:6">
      <c r="A5" t="s">
        <v>75</v>
      </c>
      <c r="B5">
        <v>1</v>
      </c>
      <c r="C5" s="1" t="s">
        <v>73</v>
      </c>
      <c r="D5" t="str">
        <f>IFERROR(IFERROR(VLOOKUP($C5, [1]SBOM!$F:$G, 2, FALSE), VLOOKUP(VALUE($C5), [1]SBOM!$F:$G, 2, FALSE)), "")</f>
        <v>FA Mini - Counter Display - Empty</v>
      </c>
      <c r="E5">
        <v>1</v>
      </c>
      <c r="F5" s="2">
        <f>IF(IF(RIGHT($A5,5)="FA160", ROUND(IFERROR(IFERROR(VLOOKUP($C5, [1]SBOM!$F:$P, 11, FALSE),VLOOKUP(VALUE($C5), [1]SBOM!$F:$P, 11, FALSE)), 0), 2)-1.5, ROUND(IFERROR(IFERROR(VLOOKUP($C5, [1]SBOM!$F:$P, 11, FALSE),VLOOKUP(VALUE($C5), [1]SBOM!$F:$P, 11, FALSE)), 0), 2))&lt;0, 0, IF(RIGHT($A5,5)="FA160", ROUND(IFERROR(IFERROR(VLOOKUP($C5, [1]SBOM!$F:$P, 11, FALSE),VLOOKUP(VALUE($C5), [1]SBOM!$F:$P, 11, FALSE)), 0), 2)-1.5, ROUND(IFERROR(IFERROR(VLOOKUP($C5, [1]SBOM!$F:$P, 11, FALSE),VLOOKUP(VALUE($C5), [1]SBOM!$F:$P, 11, FALSE)), 0), 2)))</f>
        <v>0</v>
      </c>
    </row>
    <row r="6" spans="1:6">
      <c r="A6" t="s">
        <v>75</v>
      </c>
      <c r="B6">
        <f>IF(A5=A6, B5+1, 1)</f>
        <v>2</v>
      </c>
      <c r="C6" s="1" t="s">
        <v>9</v>
      </c>
      <c r="D6" t="str">
        <f>IFERROR(IFERROR(VLOOKUP($C6, [1]SBOM!$F:$G, 2, FALSE), VLOOKUP(VALUE($C6), [1]SBOM!$F:$G, 2, FALSE)), "")</f>
        <v>FlowArt: Mini Single - Café Comforts</v>
      </c>
      <c r="E6">
        <v>6</v>
      </c>
      <c r="F6" s="2">
        <f>IF(IF(RIGHT($A6,5)="FA160", ROUND(IFERROR(IFERROR(VLOOKUP($C6, [1]SBOM!$F:$P, 11, FALSE),VLOOKUP(VALUE($C6), [1]SBOM!$F:$P, 11, FALSE)), 0), 2)-1.5, ROUND(IFERROR(IFERROR(VLOOKUP($C6, [1]SBOM!$F:$P, 11, FALSE),VLOOKUP(VALUE($C6), [1]SBOM!$F:$P, 11, FALSE)), 0), 2))&lt;0, 0, IF(RIGHT($A6,5)="FA160", ROUND(IFERROR(IFERROR(VLOOKUP($C6, [1]SBOM!$F:$P, 11, FALSE),VLOOKUP(VALUE($C6), [1]SBOM!$F:$P, 11, FALSE)), 0), 2)-1.5, ROUND(IFERROR(IFERROR(VLOOKUP($C6, [1]SBOM!$F:$P, 11, FALSE),VLOOKUP(VALUE($C6), [1]SBOM!$F:$P, 11, FALSE)), 0), 2)))</f>
        <v>3.5</v>
      </c>
    </row>
    <row r="7" spans="1:6">
      <c r="A7" t="s">
        <v>75</v>
      </c>
      <c r="B7">
        <f t="shared" ref="B7:B72" si="0">IF(A6=A7, B6+1, 1)</f>
        <v>3</v>
      </c>
      <c r="C7" s="1" t="s">
        <v>10</v>
      </c>
      <c r="D7" t="str">
        <f>IFERROR(IFERROR(VLOOKUP($C7, [1]SBOM!$F:$G, 2, FALSE), VLOOKUP(VALUE($C7), [1]SBOM!$F:$G, 2, FALSE)), "")</f>
        <v>FlowArt: Mini Single - Enchanted Magic</v>
      </c>
      <c r="E7">
        <v>6</v>
      </c>
      <c r="F7" s="2">
        <f>IF(IF(RIGHT($A7,5)="FA160", ROUND(IFERROR(IFERROR(VLOOKUP($C7, [1]SBOM!$F:$P, 11, FALSE),VLOOKUP(VALUE($C7), [1]SBOM!$F:$P, 11, FALSE)), 0), 2)-1.5, ROUND(IFERROR(IFERROR(VLOOKUP($C7, [1]SBOM!$F:$P, 11, FALSE),VLOOKUP(VALUE($C7), [1]SBOM!$F:$P, 11, FALSE)), 0), 2))&lt;0, 0, IF(RIGHT($A7,5)="FA160", ROUND(IFERROR(IFERROR(VLOOKUP($C7, [1]SBOM!$F:$P, 11, FALSE),VLOOKUP(VALUE($C7), [1]SBOM!$F:$P, 11, FALSE)), 0), 2)-1.5, ROUND(IFERROR(IFERROR(VLOOKUP($C7, [1]SBOM!$F:$P, 11, FALSE),VLOOKUP(VALUE($C7), [1]SBOM!$F:$P, 11, FALSE)), 0), 2)))</f>
        <v>3.5</v>
      </c>
    </row>
    <row r="8" spans="1:6">
      <c r="A8" t="s">
        <v>75</v>
      </c>
      <c r="B8">
        <f t="shared" si="0"/>
        <v>4</v>
      </c>
      <c r="C8" s="1" t="s">
        <v>11</v>
      </c>
      <c r="D8" t="str">
        <f>IFERROR(IFERROR(VLOOKUP($C8, [1]SBOM!$F:$G, 2, FALSE), VLOOKUP(VALUE($C8), [1]SBOM!$F:$G, 2, FALSE)), "")</f>
        <v>FlowArt: Mini Single - Pretty Petals</v>
      </c>
      <c r="E8">
        <v>12</v>
      </c>
      <c r="F8" s="2">
        <f>IF(IF(RIGHT($A8,5)="FA160", ROUND(IFERROR(IFERROR(VLOOKUP($C8, [1]SBOM!$F:$P, 11, FALSE),VLOOKUP(VALUE($C8), [1]SBOM!$F:$P, 11, FALSE)), 0), 2)-1.5, ROUND(IFERROR(IFERROR(VLOOKUP($C8, [1]SBOM!$F:$P, 11, FALSE),VLOOKUP(VALUE($C8), [1]SBOM!$F:$P, 11, FALSE)), 0), 2))&lt;0, 0, IF(RIGHT($A8,5)="FA160", ROUND(IFERROR(IFERROR(VLOOKUP($C8, [1]SBOM!$F:$P, 11, FALSE),VLOOKUP(VALUE($C8), [1]SBOM!$F:$P, 11, FALSE)), 0), 2)-1.5, ROUND(IFERROR(IFERROR(VLOOKUP($C8, [1]SBOM!$F:$P, 11, FALSE),VLOOKUP(VALUE($C8), [1]SBOM!$F:$P, 11, FALSE)), 0), 2)))</f>
        <v>3.5</v>
      </c>
    </row>
    <row r="9" spans="1:6">
      <c r="A9" t="s">
        <v>75</v>
      </c>
      <c r="B9">
        <f t="shared" si="0"/>
        <v>5</v>
      </c>
      <c r="C9" s="1" t="s">
        <v>13</v>
      </c>
      <c r="D9" t="str">
        <f>IFERROR(IFERROR(VLOOKUP($C9, [1]SBOM!$F:$G, 2, FALSE), VLOOKUP(VALUE($C9), [1]SBOM!$F:$G, 2, FALSE)), "")</f>
        <v>FlowArt: Mini Single - Furry Friends</v>
      </c>
      <c r="E9">
        <v>12</v>
      </c>
      <c r="F9" s="2">
        <f>IF(IF(RIGHT($A9,5)="FA160", ROUND(IFERROR(IFERROR(VLOOKUP($C9, [1]SBOM!$F:$P, 11, FALSE),VLOOKUP(VALUE($C9), [1]SBOM!$F:$P, 11, FALSE)), 0), 2)-1.5, ROUND(IFERROR(IFERROR(VLOOKUP($C9, [1]SBOM!$F:$P, 11, FALSE),VLOOKUP(VALUE($C9), [1]SBOM!$F:$P, 11, FALSE)), 0), 2))&lt;0, 0, IF(RIGHT($A9,5)="FA160", ROUND(IFERROR(IFERROR(VLOOKUP($C9, [1]SBOM!$F:$P, 11, FALSE),VLOOKUP(VALUE($C9), [1]SBOM!$F:$P, 11, FALSE)), 0), 2)-1.5, ROUND(IFERROR(IFERROR(VLOOKUP($C9, [1]SBOM!$F:$P, 11, FALSE),VLOOKUP(VALUE($C9), [1]SBOM!$F:$P, 11, FALSE)), 0), 2)))</f>
        <v>3.5</v>
      </c>
    </row>
    <row r="10" spans="1:6">
      <c r="A10" t="s">
        <v>75</v>
      </c>
      <c r="B10">
        <f t="shared" si="0"/>
        <v>6</v>
      </c>
      <c r="C10" s="1" t="s">
        <v>12</v>
      </c>
      <c r="D10" t="str">
        <f>IFERROR(IFERROR(VLOOKUP($C10, [1]SBOM!$F:$G, 2, FALSE), VLOOKUP(VALUE($C10), [1]SBOM!$F:$G, 2, FALSE)), "")</f>
        <v>FlowArt: Mini Single - Nature's Wonders</v>
      </c>
      <c r="E10">
        <v>6</v>
      </c>
      <c r="F10" s="2">
        <f>IF(IF(RIGHT($A10,5)="FA160", ROUND(IFERROR(IFERROR(VLOOKUP($C10, [1]SBOM!$F:$P, 11, FALSE),VLOOKUP(VALUE($C10), [1]SBOM!$F:$P, 11, FALSE)), 0), 2)-1.5, ROUND(IFERROR(IFERROR(VLOOKUP($C10, [1]SBOM!$F:$P, 11, FALSE),VLOOKUP(VALUE($C10), [1]SBOM!$F:$P, 11, FALSE)), 0), 2))&lt;0, 0, IF(RIGHT($A10,5)="FA160", ROUND(IFERROR(IFERROR(VLOOKUP($C10, [1]SBOM!$F:$P, 11, FALSE),VLOOKUP(VALUE($C10), [1]SBOM!$F:$P, 11, FALSE)), 0), 2)-1.5, ROUND(IFERROR(IFERROR(VLOOKUP($C10, [1]SBOM!$F:$P, 11, FALSE),VLOOKUP(VALUE($C10), [1]SBOM!$F:$P, 11, FALSE)), 0), 2)))</f>
        <v>3.5</v>
      </c>
    </row>
    <row r="11" spans="1:6">
      <c r="A11" t="s">
        <v>75</v>
      </c>
      <c r="B11">
        <f t="shared" si="0"/>
        <v>7</v>
      </c>
      <c r="C11" s="1" t="s">
        <v>8</v>
      </c>
      <c r="D11" t="str">
        <f>IFERROR(IFERROR(VLOOKUP($C11, [1]SBOM!$F:$G, 2, FALSE), VLOOKUP(VALUE($C11), [1]SBOM!$F:$G, 2, FALSE)), "")</f>
        <v>FlowArt: Mini Single - Pocket Positivity</v>
      </c>
      <c r="E11">
        <v>6</v>
      </c>
      <c r="F11" s="2">
        <f>IF(IF(RIGHT($A11,5)="FA160", ROUND(IFERROR(IFERROR(VLOOKUP($C11, [1]SBOM!$F:$P, 11, FALSE),VLOOKUP(VALUE($C11), [1]SBOM!$F:$P, 11, FALSE)), 0), 2)-1.5, ROUND(IFERROR(IFERROR(VLOOKUP($C11, [1]SBOM!$F:$P, 11, FALSE),VLOOKUP(VALUE($C11), [1]SBOM!$F:$P, 11, FALSE)), 0), 2))&lt;0, 0, IF(RIGHT($A11,5)="FA160", ROUND(IFERROR(IFERROR(VLOOKUP($C11, [1]SBOM!$F:$P, 11, FALSE),VLOOKUP(VALUE($C11), [1]SBOM!$F:$P, 11, FALSE)), 0), 2)-1.5, ROUND(IFERROR(IFERROR(VLOOKUP($C11, [1]SBOM!$F:$P, 11, FALSE),VLOOKUP(VALUE($C11), [1]SBOM!$F:$P, 11, FALSE)), 0), 2)))</f>
        <v>3.5</v>
      </c>
    </row>
    <row r="12" spans="1:6">
      <c r="A12" t="s">
        <v>75</v>
      </c>
      <c r="B12">
        <f t="shared" si="0"/>
        <v>8</v>
      </c>
      <c r="C12" s="1" t="s">
        <v>34</v>
      </c>
      <c r="D12" t="str">
        <f>IFERROR(IFERROR(VLOOKUP($C12, [1]SBOM!$F:$G, 2, FALSE), VLOOKUP(VALUE($C12), [1]SBOM!$F:$G, 2, FALSE)), "")</f>
        <v>FlowArt - Spinner Tower - Empty</v>
      </c>
      <c r="E12">
        <v>1</v>
      </c>
      <c r="F12" s="8">
        <v>0</v>
      </c>
    </row>
    <row r="13" spans="1:6">
      <c r="A13" t="s">
        <v>75</v>
      </c>
      <c r="B13">
        <f t="shared" si="0"/>
        <v>9</v>
      </c>
      <c r="C13" s="1" t="s">
        <v>29</v>
      </c>
      <c r="D13" t="str">
        <f>IFERROR(IFERROR(VLOOKUP($C13, [1]SBOM!$F:$G, 2, FALSE), VLOOKUP(VALUE($C13), [1]SBOM!$F:$G, 2, FALSE)), "")</f>
        <v>FlowArt: Dot-By-Letter, Into the Galaxy [Metallic ink]</v>
      </c>
      <c r="E13">
        <v>12</v>
      </c>
      <c r="F13" s="5">
        <v>5</v>
      </c>
    </row>
    <row r="14" spans="1:6">
      <c r="A14" t="s">
        <v>75</v>
      </c>
      <c r="B14">
        <f t="shared" si="0"/>
        <v>10</v>
      </c>
      <c r="C14" s="1" t="s">
        <v>16</v>
      </c>
      <c r="D14" t="str">
        <f>IFERROR(IFERROR(VLOOKUP($C14, [1]SBOM!$F:$G, 2, FALSE), VLOOKUP(VALUE($C14), [1]SBOM!$F:$G, 2, FALSE)), "")</f>
        <v>FlowArt: Dot-By-Letter, Cozy Cottage</v>
      </c>
      <c r="E14">
        <v>8</v>
      </c>
      <c r="F14" s="5">
        <v>5</v>
      </c>
    </row>
    <row r="15" spans="1:6">
      <c r="A15" t="s">
        <v>75</v>
      </c>
      <c r="B15">
        <f t="shared" si="0"/>
        <v>11</v>
      </c>
      <c r="C15" s="1" t="s">
        <v>30</v>
      </c>
      <c r="D15" t="str">
        <f>IFERROR(IFERROR(VLOOKUP($C15, [1]SBOM!$F:$G, 2, FALSE), VLOOKUP(VALUE($C15), [1]SBOM!$F:$G, 2, FALSE)), "")</f>
        <v>FlowArt: Dot-By-Letter, Into the Deep [Metallic ink]</v>
      </c>
      <c r="E15">
        <v>12</v>
      </c>
      <c r="F15" s="5">
        <v>5</v>
      </c>
    </row>
    <row r="16" spans="1:6">
      <c r="A16" t="s">
        <v>75</v>
      </c>
      <c r="B16">
        <f t="shared" si="0"/>
        <v>12</v>
      </c>
      <c r="C16" s="1" t="s">
        <v>31</v>
      </c>
      <c r="D16" t="str">
        <f>IFERROR(IFERROR(VLOOKUP($C16, [1]SBOM!$F:$G, 2, FALSE), VLOOKUP(VALUE($C16), [1]SBOM!$F:$G, 2, FALSE)), "")</f>
        <v>FlowArt: Trace-By-Groove, Jungle Oasis</v>
      </c>
      <c r="E16">
        <v>4</v>
      </c>
      <c r="F16" s="5">
        <v>5</v>
      </c>
    </row>
    <row r="17" spans="1:6">
      <c r="A17" t="s">
        <v>75</v>
      </c>
      <c r="B17">
        <f t="shared" si="0"/>
        <v>13</v>
      </c>
      <c r="C17" s="1" t="s">
        <v>51</v>
      </c>
      <c r="D17" t="str">
        <f>IFERROR(IFERROR(VLOOKUP($C17, [1]SBOM!$F:$G, 2, FALSE), VLOOKUP(VALUE($C17), [1]SBOM!$F:$G, 2, FALSE)), "")</f>
        <v>FlowArt: Color-to-Reveal, Citrus Coastlines</v>
      </c>
      <c r="E17">
        <v>4</v>
      </c>
      <c r="F17" s="5">
        <v>5</v>
      </c>
    </row>
    <row r="18" spans="1:6">
      <c r="A18" t="s">
        <v>75</v>
      </c>
      <c r="B18">
        <f t="shared" si="0"/>
        <v>14</v>
      </c>
      <c r="C18" s="1" t="s">
        <v>18</v>
      </c>
      <c r="D18" t="str">
        <f>IFERROR(IFERROR(VLOOKUP($C18, [1]SBOM!$F:$G, 2, FALSE), VLOOKUP(VALUE($C18), [1]SBOM!$F:$G, 2, FALSE)), "")</f>
        <v>FlowArt: Color-to-Reveal, Fragrant Blooms</v>
      </c>
      <c r="E18">
        <v>4</v>
      </c>
      <c r="F18" s="5">
        <v>5</v>
      </c>
    </row>
    <row r="19" spans="1:6">
      <c r="A19" t="s">
        <v>75</v>
      </c>
      <c r="B19">
        <f t="shared" si="0"/>
        <v>15</v>
      </c>
      <c r="C19" s="1" t="s">
        <v>69</v>
      </c>
      <c r="D19" t="str">
        <f>IFERROR(IFERROR(VLOOKUP($C19, [1]SBOM!$F:$G, 2, FALSE), VLOOKUP(VALUE($C19), [1]SBOM!$F:$G, 2, FALSE)), "")</f>
        <v>FlowArt: Dot-By-Letter, Everyday Inspiration</v>
      </c>
      <c r="E19">
        <v>12</v>
      </c>
      <c r="F19" s="5">
        <v>5</v>
      </c>
    </row>
    <row r="20" spans="1:6">
      <c r="A20" t="s">
        <v>75</v>
      </c>
      <c r="B20">
        <f t="shared" si="0"/>
        <v>16</v>
      </c>
      <c r="C20" s="1" t="s">
        <v>49</v>
      </c>
      <c r="D20" t="str">
        <f>IFERROR(IFERROR(VLOOKUP($C20, [1]SBOM!$F:$G, 2, FALSE), VLOOKUP(VALUE($C20), [1]SBOM!$F:$G, 2, FALSE)), "")</f>
        <v>FlowArt: Dot-By-Letter, Wags &amp; Whiskers</v>
      </c>
      <c r="E20">
        <v>12</v>
      </c>
      <c r="F20" s="5">
        <v>5</v>
      </c>
    </row>
    <row r="21" spans="1:6">
      <c r="A21" t="s">
        <v>75</v>
      </c>
      <c r="B21">
        <f t="shared" si="0"/>
        <v>17</v>
      </c>
      <c r="C21" s="1" t="s">
        <v>20</v>
      </c>
      <c r="D21" t="str">
        <f>IFERROR(IFERROR(VLOOKUP($C21, [1]SBOM!$F:$G, 2, FALSE), VLOOKUP(VALUE($C21), [1]SBOM!$F:$G, 2, FALSE)), "")</f>
        <v>FlowArt: Dot-By-Letter, Day at the Beach</v>
      </c>
      <c r="E21">
        <v>8</v>
      </c>
      <c r="F21" s="5">
        <v>5</v>
      </c>
    </row>
    <row r="22" spans="1:6">
      <c r="A22" t="s">
        <v>75</v>
      </c>
      <c r="B22">
        <f t="shared" si="0"/>
        <v>18</v>
      </c>
      <c r="C22" s="1" t="s">
        <v>23</v>
      </c>
      <c r="D22" t="str">
        <f>IFERROR(IFERROR(VLOOKUP($C22, [1]SBOM!$F:$G, 2, FALSE), VLOOKUP(VALUE($C22), [1]SBOM!$F:$G, 2, FALSE)), "")</f>
        <v>FlowArt: Trace-By-Line, Fall Harvest</v>
      </c>
      <c r="E22">
        <v>12</v>
      </c>
      <c r="F22" s="5">
        <v>5</v>
      </c>
    </row>
    <row r="23" spans="1:6">
      <c r="A23" t="s">
        <v>75</v>
      </c>
      <c r="B23">
        <f t="shared" si="0"/>
        <v>19</v>
      </c>
      <c r="C23" s="1" t="s">
        <v>68</v>
      </c>
      <c r="D23" t="str">
        <f>IFERROR(IFERROR(VLOOKUP($C23, [1]SBOM!$F:$G, 2, FALSE), VLOOKUP(VALUE($C23), [1]SBOM!$F:$G, 2, FALSE)), "")</f>
        <v>FlowArt: Dot-By-Letter, Majestic Earth [Metallic ink]</v>
      </c>
      <c r="E23">
        <v>12</v>
      </c>
      <c r="F23" s="5">
        <v>5</v>
      </c>
    </row>
    <row r="24" spans="1:6">
      <c r="A24" t="s">
        <v>75</v>
      </c>
      <c r="B24">
        <f t="shared" si="0"/>
        <v>20</v>
      </c>
      <c r="C24" s="1" t="s">
        <v>52</v>
      </c>
      <c r="D24" t="str">
        <f>IFERROR(IFERROR(VLOOKUP($C24, [1]SBOM!$F:$G, 2, FALSE), VLOOKUP(VALUE($C24), [1]SBOM!$F:$G, 2, FALSE)), "")</f>
        <v>FlowArt: Trace-By-Line, Brunch in Bloom</v>
      </c>
      <c r="E24">
        <v>8</v>
      </c>
      <c r="F24" s="5">
        <v>5</v>
      </c>
    </row>
    <row r="25" spans="1:6">
      <c r="A25" t="s">
        <v>75</v>
      </c>
      <c r="B25">
        <f t="shared" si="0"/>
        <v>21</v>
      </c>
      <c r="C25" s="1" t="s">
        <v>19</v>
      </c>
      <c r="D25" t="str">
        <f>IFERROR(IFERROR(VLOOKUP($C25, [1]SBOM!$F:$G, 2, FALSE), VLOOKUP(VALUE($C25), [1]SBOM!$F:$G, 2, FALSE)), "")</f>
        <v>FlowArt: Trace-By-Line, Tropical Paradise</v>
      </c>
      <c r="E25">
        <v>12</v>
      </c>
      <c r="F25" s="5">
        <v>5</v>
      </c>
    </row>
    <row r="26" spans="1:6">
      <c r="A26" t="s">
        <v>75</v>
      </c>
      <c r="B26">
        <f t="shared" si="0"/>
        <v>22</v>
      </c>
      <c r="C26" s="1" t="s">
        <v>79</v>
      </c>
      <c r="D26" t="str">
        <f>IFERROR(IFERROR(VLOOKUP($C26, [1]SBOM!$F:$G, 2, FALSE), VLOOKUP(VALUE($C26), [1]SBOM!$F:$G, 2, FALSE)), "")</f>
        <v>FlowArt: Trace-By-Line, Woodland Whimsy</v>
      </c>
      <c r="E26">
        <v>8</v>
      </c>
      <c r="F26" s="5">
        <v>5</v>
      </c>
    </row>
    <row r="27" spans="1:6">
      <c r="A27" t="s">
        <v>75</v>
      </c>
      <c r="B27">
        <f t="shared" si="0"/>
        <v>23</v>
      </c>
      <c r="C27" s="1" t="s">
        <v>80</v>
      </c>
      <c r="D27" t="str">
        <f>IFERROR(IFERROR(VLOOKUP($C27, [1]SBOM!$F:$G, 2, FALSE), VLOOKUP(VALUE($C27), [1]SBOM!$F:$G, 2, FALSE)), "")</f>
        <v>FlowArt: Dot-By-Letter, The North Pole</v>
      </c>
      <c r="E27">
        <v>4</v>
      </c>
      <c r="F27" s="5">
        <v>5</v>
      </c>
    </row>
    <row r="28" spans="1:6">
      <c r="A28" t="s">
        <v>75</v>
      </c>
      <c r="B28">
        <f t="shared" si="0"/>
        <v>24</v>
      </c>
      <c r="C28" s="1" t="s">
        <v>27</v>
      </c>
      <c r="D28" t="str">
        <f>IFERROR(IFERROR(VLOOKUP($C28, [1]SBOM!$F:$G, 2, FALSE), VLOOKUP(VALUE($C28), [1]SBOM!$F:$G, 2, FALSE)), "")</f>
        <v>FlowArt: Dot-By-Letter, Winter's Glow [Metallic ink]</v>
      </c>
      <c r="E28">
        <v>12</v>
      </c>
      <c r="F28" s="5">
        <v>5</v>
      </c>
    </row>
    <row r="29" spans="1:6">
      <c r="A29" t="s">
        <v>75</v>
      </c>
      <c r="B29">
        <f t="shared" si="0"/>
        <v>25</v>
      </c>
      <c r="C29" s="1" t="s">
        <v>25</v>
      </c>
      <c r="D29" t="str">
        <f>IFERROR(IFERROR(VLOOKUP($C29, [1]SBOM!$F:$G, 2, FALSE), VLOOKUP(VALUE($C29), [1]SBOM!$F:$G, 2, FALSE)), "")</f>
        <v>FlowArt: Dot-By-Letter, Winter Wonderland</v>
      </c>
      <c r="E29">
        <v>12</v>
      </c>
      <c r="F29" s="5">
        <v>5</v>
      </c>
    </row>
    <row r="30" spans="1:6">
      <c r="A30" t="s">
        <v>75</v>
      </c>
      <c r="B30">
        <f t="shared" si="0"/>
        <v>26</v>
      </c>
      <c r="C30" s="1" t="s">
        <v>81</v>
      </c>
      <c r="D30" t="str">
        <f>IFERROR(IFERROR(VLOOKUP($C30, [1]SBOM!$F:$G, 2, FALSE), VLOOKUP(VALUE($C30), [1]SBOM!$F:$G, 2, FALSE)), "")</f>
        <v>FlowArt: Color-to-Reveal, Home for the Holidays [Scented]</v>
      </c>
      <c r="E30">
        <v>4</v>
      </c>
      <c r="F30" s="5">
        <v>5</v>
      </c>
    </row>
    <row r="31" spans="1:6">
      <c r="A31" t="s">
        <v>76</v>
      </c>
      <c r="B31">
        <f t="shared" si="0"/>
        <v>1</v>
      </c>
      <c r="C31" s="1" t="s">
        <v>73</v>
      </c>
      <c r="D31" t="str">
        <f>IFERROR(IFERROR(VLOOKUP($C31, [1]SBOM!$F:$G, 2, FALSE), VLOOKUP(VALUE($C31), [1]SBOM!$F:$G, 2, FALSE)), "")</f>
        <v>FA Mini - Counter Display - Empty</v>
      </c>
      <c r="E31">
        <v>1</v>
      </c>
      <c r="F31" s="2">
        <f>IF(IF(RIGHT($A31,5)="FA160", ROUND(IFERROR(IFERROR(VLOOKUP($C31, [1]SBOM!$F:$P, 11, FALSE),VLOOKUP(VALUE($C31), [1]SBOM!$F:$P, 11, FALSE)), 0), 2)-1.5, ROUND(IFERROR(IFERROR(VLOOKUP($C31, [1]SBOM!$F:$P, 11, FALSE),VLOOKUP(VALUE($C31), [1]SBOM!$F:$P, 11, FALSE)), 0), 2))&lt;0, 0, IF(RIGHT($A31,5)="FA160", ROUND(IFERROR(IFERROR(VLOOKUP($C31, [1]SBOM!$F:$P, 11, FALSE),VLOOKUP(VALUE($C31), [1]SBOM!$F:$P, 11, FALSE)), 0), 2)-1.5, ROUND(IFERROR(IFERROR(VLOOKUP($C31, [1]SBOM!$F:$P, 11, FALSE),VLOOKUP(VALUE($C31), [1]SBOM!$F:$P, 11, FALSE)), 0), 2)))</f>
        <v>0</v>
      </c>
    </row>
    <row r="32" spans="1:6">
      <c r="A32" t="s">
        <v>76</v>
      </c>
      <c r="B32">
        <f t="shared" si="0"/>
        <v>2</v>
      </c>
      <c r="C32" s="1" t="s">
        <v>9</v>
      </c>
      <c r="D32" t="str">
        <f>IFERROR(IFERROR(VLOOKUP($C32, [1]SBOM!$F:$G, 2, FALSE), VLOOKUP(VALUE($C32), [1]SBOM!$F:$G, 2, FALSE)), "")</f>
        <v>FlowArt: Mini Single - Café Comforts</v>
      </c>
      <c r="E32">
        <v>6</v>
      </c>
      <c r="F32" s="2">
        <f>IF(IF(RIGHT($A32,5)="FA160", ROUND(IFERROR(IFERROR(VLOOKUP($C32, [1]SBOM!$F:$P, 11, FALSE),VLOOKUP(VALUE($C32), [1]SBOM!$F:$P, 11, FALSE)), 0), 2)-1.5, ROUND(IFERROR(IFERROR(VLOOKUP($C32, [1]SBOM!$F:$P, 11, FALSE),VLOOKUP(VALUE($C32), [1]SBOM!$F:$P, 11, FALSE)), 0), 2))&lt;0, 0, IF(RIGHT($A32,5)="FA160", ROUND(IFERROR(IFERROR(VLOOKUP($C32, [1]SBOM!$F:$P, 11, FALSE),VLOOKUP(VALUE($C32), [1]SBOM!$F:$P, 11, FALSE)), 0), 2)-1.5, ROUND(IFERROR(IFERROR(VLOOKUP($C32, [1]SBOM!$F:$P, 11, FALSE),VLOOKUP(VALUE($C32), [1]SBOM!$F:$P, 11, FALSE)), 0), 2)))</f>
        <v>3.5</v>
      </c>
    </row>
    <row r="33" spans="1:6">
      <c r="A33" t="s">
        <v>76</v>
      </c>
      <c r="B33">
        <f t="shared" si="0"/>
        <v>3</v>
      </c>
      <c r="C33" s="1" t="s">
        <v>10</v>
      </c>
      <c r="D33" t="str">
        <f>IFERROR(IFERROR(VLOOKUP($C33, [1]SBOM!$F:$G, 2, FALSE), VLOOKUP(VALUE($C33), [1]SBOM!$F:$G, 2, FALSE)), "")</f>
        <v>FlowArt: Mini Single - Enchanted Magic</v>
      </c>
      <c r="E33">
        <v>6</v>
      </c>
      <c r="F33" s="2">
        <f>IF(IF(RIGHT($A33,5)="FA160", ROUND(IFERROR(IFERROR(VLOOKUP($C33, [1]SBOM!$F:$P, 11, FALSE),VLOOKUP(VALUE($C33), [1]SBOM!$F:$P, 11, FALSE)), 0), 2)-1.5, ROUND(IFERROR(IFERROR(VLOOKUP($C33, [1]SBOM!$F:$P, 11, FALSE),VLOOKUP(VALUE($C33), [1]SBOM!$F:$P, 11, FALSE)), 0), 2))&lt;0, 0, IF(RIGHT($A33,5)="FA160", ROUND(IFERROR(IFERROR(VLOOKUP($C33, [1]SBOM!$F:$P, 11, FALSE),VLOOKUP(VALUE($C33), [1]SBOM!$F:$P, 11, FALSE)), 0), 2)-1.5, ROUND(IFERROR(IFERROR(VLOOKUP($C33, [1]SBOM!$F:$P, 11, FALSE),VLOOKUP(VALUE($C33), [1]SBOM!$F:$P, 11, FALSE)), 0), 2)))</f>
        <v>3.5</v>
      </c>
    </row>
    <row r="34" spans="1:6">
      <c r="A34" t="s">
        <v>76</v>
      </c>
      <c r="B34">
        <f t="shared" si="0"/>
        <v>4</v>
      </c>
      <c r="C34" s="1" t="s">
        <v>11</v>
      </c>
      <c r="D34" t="str">
        <f>IFERROR(IFERROR(VLOOKUP($C34, [1]SBOM!$F:$G, 2, FALSE), VLOOKUP(VALUE($C34), [1]SBOM!$F:$G, 2, FALSE)), "")</f>
        <v>FlowArt: Mini Single - Pretty Petals</v>
      </c>
      <c r="E34">
        <v>12</v>
      </c>
      <c r="F34" s="2">
        <f>IF(IF(RIGHT($A34,5)="FA160", ROUND(IFERROR(IFERROR(VLOOKUP($C34, [1]SBOM!$F:$P, 11, FALSE),VLOOKUP(VALUE($C34), [1]SBOM!$F:$P, 11, FALSE)), 0), 2)-1.5, ROUND(IFERROR(IFERROR(VLOOKUP($C34, [1]SBOM!$F:$P, 11, FALSE),VLOOKUP(VALUE($C34), [1]SBOM!$F:$P, 11, FALSE)), 0), 2))&lt;0, 0, IF(RIGHT($A34,5)="FA160", ROUND(IFERROR(IFERROR(VLOOKUP($C34, [1]SBOM!$F:$P, 11, FALSE),VLOOKUP(VALUE($C34), [1]SBOM!$F:$P, 11, FALSE)), 0), 2)-1.5, ROUND(IFERROR(IFERROR(VLOOKUP($C34, [1]SBOM!$F:$P, 11, FALSE),VLOOKUP(VALUE($C34), [1]SBOM!$F:$P, 11, FALSE)), 0), 2)))</f>
        <v>3.5</v>
      </c>
    </row>
    <row r="35" spans="1:6">
      <c r="A35" t="s">
        <v>76</v>
      </c>
      <c r="B35">
        <f t="shared" si="0"/>
        <v>5</v>
      </c>
      <c r="C35" s="1" t="s">
        <v>13</v>
      </c>
      <c r="D35" t="str">
        <f>IFERROR(IFERROR(VLOOKUP($C35, [1]SBOM!$F:$G, 2, FALSE), VLOOKUP(VALUE($C35), [1]SBOM!$F:$G, 2, FALSE)), "")</f>
        <v>FlowArt: Mini Single - Furry Friends</v>
      </c>
      <c r="E35">
        <v>12</v>
      </c>
      <c r="F35" s="2">
        <f>IF(IF(RIGHT($A35,5)="FA160", ROUND(IFERROR(IFERROR(VLOOKUP($C35, [1]SBOM!$F:$P, 11, FALSE),VLOOKUP(VALUE($C35), [1]SBOM!$F:$P, 11, FALSE)), 0), 2)-1.5, ROUND(IFERROR(IFERROR(VLOOKUP($C35, [1]SBOM!$F:$P, 11, FALSE),VLOOKUP(VALUE($C35), [1]SBOM!$F:$P, 11, FALSE)), 0), 2))&lt;0, 0, IF(RIGHT($A35,5)="FA160", ROUND(IFERROR(IFERROR(VLOOKUP($C35, [1]SBOM!$F:$P, 11, FALSE),VLOOKUP(VALUE($C35), [1]SBOM!$F:$P, 11, FALSE)), 0), 2)-1.5, ROUND(IFERROR(IFERROR(VLOOKUP($C35, [1]SBOM!$F:$P, 11, FALSE),VLOOKUP(VALUE($C35), [1]SBOM!$F:$P, 11, FALSE)), 0), 2)))</f>
        <v>3.5</v>
      </c>
    </row>
    <row r="36" spans="1:6">
      <c r="A36" t="s">
        <v>76</v>
      </c>
      <c r="B36">
        <f t="shared" si="0"/>
        <v>6</v>
      </c>
      <c r="C36" s="1" t="s">
        <v>12</v>
      </c>
      <c r="D36" t="str">
        <f>IFERROR(IFERROR(VLOOKUP($C36, [1]SBOM!$F:$G, 2, FALSE), VLOOKUP(VALUE($C36), [1]SBOM!$F:$G, 2, FALSE)), "")</f>
        <v>FlowArt: Mini Single - Nature's Wonders</v>
      </c>
      <c r="E36">
        <v>6</v>
      </c>
      <c r="F36" s="2">
        <f>IF(IF(RIGHT($A36,5)="FA160", ROUND(IFERROR(IFERROR(VLOOKUP($C36, [1]SBOM!$F:$P, 11, FALSE),VLOOKUP(VALUE($C36), [1]SBOM!$F:$P, 11, FALSE)), 0), 2)-1.5, ROUND(IFERROR(IFERROR(VLOOKUP($C36, [1]SBOM!$F:$P, 11, FALSE),VLOOKUP(VALUE($C36), [1]SBOM!$F:$P, 11, FALSE)), 0), 2))&lt;0, 0, IF(RIGHT($A36,5)="FA160", ROUND(IFERROR(IFERROR(VLOOKUP($C36, [1]SBOM!$F:$P, 11, FALSE),VLOOKUP(VALUE($C36), [1]SBOM!$F:$P, 11, FALSE)), 0), 2)-1.5, ROUND(IFERROR(IFERROR(VLOOKUP($C36, [1]SBOM!$F:$P, 11, FALSE),VLOOKUP(VALUE($C36), [1]SBOM!$F:$P, 11, FALSE)), 0), 2)))</f>
        <v>3.5</v>
      </c>
    </row>
    <row r="37" spans="1:6">
      <c r="A37" t="s">
        <v>76</v>
      </c>
      <c r="B37">
        <f t="shared" si="0"/>
        <v>7</v>
      </c>
      <c r="C37" s="1" t="s">
        <v>8</v>
      </c>
      <c r="D37" t="str">
        <f>IFERROR(IFERROR(VLOOKUP($C37, [1]SBOM!$F:$G, 2, FALSE), VLOOKUP(VALUE($C37), [1]SBOM!$F:$G, 2, FALSE)), "")</f>
        <v>FlowArt: Mini Single - Pocket Positivity</v>
      </c>
      <c r="E37">
        <v>6</v>
      </c>
      <c r="F37" s="2">
        <f>IF(IF(RIGHT($A37,5)="FA160", ROUND(IFERROR(IFERROR(VLOOKUP($C37, [1]SBOM!$F:$P, 11, FALSE),VLOOKUP(VALUE($C37), [1]SBOM!$F:$P, 11, FALSE)), 0), 2)-1.5, ROUND(IFERROR(IFERROR(VLOOKUP($C37, [1]SBOM!$F:$P, 11, FALSE),VLOOKUP(VALUE($C37), [1]SBOM!$F:$P, 11, FALSE)), 0), 2))&lt;0, 0, IF(RIGHT($A37,5)="FA160", ROUND(IFERROR(IFERROR(VLOOKUP($C37, [1]SBOM!$F:$P, 11, FALSE),VLOOKUP(VALUE($C37), [1]SBOM!$F:$P, 11, FALSE)), 0), 2)-1.5, ROUND(IFERROR(IFERROR(VLOOKUP($C37, [1]SBOM!$F:$P, 11, FALSE),VLOOKUP(VALUE($C37), [1]SBOM!$F:$P, 11, FALSE)), 0), 2)))</f>
        <v>3.5</v>
      </c>
    </row>
    <row r="38" spans="1:6">
      <c r="A38" t="s">
        <v>76</v>
      </c>
      <c r="B38">
        <f t="shared" si="0"/>
        <v>8</v>
      </c>
      <c r="C38" s="1" t="s">
        <v>29</v>
      </c>
      <c r="D38" t="str">
        <f>IFERROR(IFERROR(VLOOKUP($C38, [1]SBOM!$F:$G, 2, FALSE), VLOOKUP(VALUE($C38), [1]SBOM!$F:$G, 2, FALSE)), "")</f>
        <v>FlowArt: Dot-By-Letter, Into the Galaxy [Metallic ink]</v>
      </c>
      <c r="E38">
        <v>8</v>
      </c>
      <c r="F38" s="2">
        <f>IF(IF(RIGHT($A38,5)="FA160", ROUND(IFERROR(IFERROR(VLOOKUP($C38, [1]SBOM!$F:$P, 11, FALSE),VLOOKUP(VALUE($C38), [1]SBOM!$F:$P, 11, FALSE)), 0), 2)-1.5, ROUND(IFERROR(IFERROR(VLOOKUP($C38, [1]SBOM!$F:$P, 11, FALSE),VLOOKUP(VALUE($C38), [1]SBOM!$F:$P, 11, FALSE)), 0), 2))&lt;0, 0, IF(RIGHT($A38,5)="FA160", ROUND(IFERROR(IFERROR(VLOOKUP($C38, [1]SBOM!$F:$P, 11, FALSE),VLOOKUP(VALUE($C38), [1]SBOM!$F:$P, 11, FALSE)), 0), 2)-1.5, ROUND(IFERROR(IFERROR(VLOOKUP($C38, [1]SBOM!$F:$P, 11, FALSE),VLOOKUP(VALUE($C38), [1]SBOM!$F:$P, 11, FALSE)), 0), 2)))</f>
        <v>6.5</v>
      </c>
    </row>
    <row r="39" spans="1:6">
      <c r="A39" t="s">
        <v>76</v>
      </c>
      <c r="B39">
        <f t="shared" si="0"/>
        <v>9</v>
      </c>
      <c r="C39" s="1" t="s">
        <v>16</v>
      </c>
      <c r="D39" t="str">
        <f>IFERROR(IFERROR(VLOOKUP($C39, [1]SBOM!$F:$G, 2, FALSE), VLOOKUP(VALUE($C39), [1]SBOM!$F:$G, 2, FALSE)), "")</f>
        <v>FlowArt: Dot-By-Letter, Cozy Cottage</v>
      </c>
      <c r="E39">
        <v>4</v>
      </c>
      <c r="F39" s="2">
        <f>IF(IF(RIGHT($A39,5)="FA160", ROUND(IFERROR(IFERROR(VLOOKUP($C39, [1]SBOM!$F:$P, 11, FALSE),VLOOKUP(VALUE($C39), [1]SBOM!$F:$P, 11, FALSE)), 0), 2)-1.5, ROUND(IFERROR(IFERROR(VLOOKUP($C39, [1]SBOM!$F:$P, 11, FALSE),VLOOKUP(VALUE($C39), [1]SBOM!$F:$P, 11, FALSE)), 0), 2))&lt;0, 0, IF(RIGHT($A39,5)="FA160", ROUND(IFERROR(IFERROR(VLOOKUP($C39, [1]SBOM!$F:$P, 11, FALSE),VLOOKUP(VALUE($C39), [1]SBOM!$F:$P, 11, FALSE)), 0), 2)-1.5, ROUND(IFERROR(IFERROR(VLOOKUP($C39, [1]SBOM!$F:$P, 11, FALSE),VLOOKUP(VALUE($C39), [1]SBOM!$F:$P, 11, FALSE)), 0), 2)))</f>
        <v>6.5</v>
      </c>
    </row>
    <row r="40" spans="1:6">
      <c r="A40" t="s">
        <v>76</v>
      </c>
      <c r="B40">
        <f>IF(A38=A40, B38+1, 1)</f>
        <v>9</v>
      </c>
      <c r="C40" s="1" t="s">
        <v>30</v>
      </c>
      <c r="D40" t="str">
        <f>IFERROR(IFERROR(VLOOKUP($C40, [1]SBOM!$F:$G, 2, FALSE), VLOOKUP(VALUE($C40), [1]SBOM!$F:$G, 2, FALSE)), "")</f>
        <v>FlowArt: Dot-By-Letter, Into the Deep [Metallic ink]</v>
      </c>
      <c r="E40">
        <v>4</v>
      </c>
      <c r="F40" s="2">
        <f>IF(IF(RIGHT($A40,5)="FA160", ROUND(IFERROR(IFERROR(VLOOKUP($C40, [1]SBOM!$F:$P, 11, FALSE),VLOOKUP(VALUE($C40), [1]SBOM!$F:$P, 11, FALSE)), 0), 2)-1.5, ROUND(IFERROR(IFERROR(VLOOKUP($C40, [1]SBOM!$F:$P, 11, FALSE),VLOOKUP(VALUE($C40), [1]SBOM!$F:$P, 11, FALSE)), 0), 2))&lt;0, 0, IF(RIGHT($A40,5)="FA160", ROUND(IFERROR(IFERROR(VLOOKUP($C40, [1]SBOM!$F:$P, 11, FALSE),VLOOKUP(VALUE($C40), [1]SBOM!$F:$P, 11, FALSE)), 0), 2)-1.5, ROUND(IFERROR(IFERROR(VLOOKUP($C40, [1]SBOM!$F:$P, 11, FALSE),VLOOKUP(VALUE($C40), [1]SBOM!$F:$P, 11, FALSE)), 0), 2)))</f>
        <v>6.5</v>
      </c>
    </row>
    <row r="41" spans="1:6">
      <c r="A41" t="s">
        <v>76</v>
      </c>
      <c r="B41">
        <f>IF(A39=A41, B39+1, 1)</f>
        <v>10</v>
      </c>
      <c r="C41" s="1" t="s">
        <v>69</v>
      </c>
      <c r="D41" t="str">
        <f>IFERROR(IFERROR(VLOOKUP($C41, [1]SBOM!$F:$G, 2, FALSE), VLOOKUP(VALUE($C41), [1]SBOM!$F:$G, 2, FALSE)), "")</f>
        <v>FlowArt: Dot-By-Letter, Everyday Inspiration</v>
      </c>
      <c r="E41">
        <v>4</v>
      </c>
      <c r="F41" s="2">
        <f>IF(IF(RIGHT($A41,5)="FA160", ROUND(IFERROR(IFERROR(VLOOKUP($C41, [1]SBOM!$F:$P, 11, FALSE),VLOOKUP(VALUE($C41), [1]SBOM!$F:$P, 11, FALSE)), 0), 2)-1.5, ROUND(IFERROR(IFERROR(VLOOKUP($C41, [1]SBOM!$F:$P, 11, FALSE),VLOOKUP(VALUE($C41), [1]SBOM!$F:$P, 11, FALSE)), 0), 2))&lt;0, 0, IF(RIGHT($A41,5)="FA160", ROUND(IFERROR(IFERROR(VLOOKUP($C41, [1]SBOM!$F:$P, 11, FALSE),VLOOKUP(VALUE($C41), [1]SBOM!$F:$P, 11, FALSE)), 0), 2)-1.5, ROUND(IFERROR(IFERROR(VLOOKUP($C41, [1]SBOM!$F:$P, 11, FALSE),VLOOKUP(VALUE($C41), [1]SBOM!$F:$P, 11, FALSE)), 0), 2)))</f>
        <v>6.5</v>
      </c>
    </row>
    <row r="42" spans="1:6">
      <c r="A42" t="s">
        <v>76</v>
      </c>
      <c r="B42">
        <f t="shared" si="0"/>
        <v>11</v>
      </c>
      <c r="C42" s="1" t="s">
        <v>49</v>
      </c>
      <c r="D42" t="str">
        <f>IFERROR(IFERROR(VLOOKUP($C42, [1]SBOM!$F:$G, 2, FALSE), VLOOKUP(VALUE($C42), [1]SBOM!$F:$G, 2, FALSE)), "")</f>
        <v>FlowArt: Dot-By-Letter, Wags &amp; Whiskers</v>
      </c>
      <c r="E42">
        <v>8</v>
      </c>
      <c r="F42" s="2">
        <f>IF(IF(RIGHT($A42,5)="FA160", ROUND(IFERROR(IFERROR(VLOOKUP($C42, [1]SBOM!$F:$P, 11, FALSE),VLOOKUP(VALUE($C42), [1]SBOM!$F:$P, 11, FALSE)), 0), 2)-1.5, ROUND(IFERROR(IFERROR(VLOOKUP($C42, [1]SBOM!$F:$P, 11, FALSE),VLOOKUP(VALUE($C42), [1]SBOM!$F:$P, 11, FALSE)), 0), 2))&lt;0, 0, IF(RIGHT($A42,5)="FA160", ROUND(IFERROR(IFERROR(VLOOKUP($C42, [1]SBOM!$F:$P, 11, FALSE),VLOOKUP(VALUE($C42), [1]SBOM!$F:$P, 11, FALSE)), 0), 2)-1.5, ROUND(IFERROR(IFERROR(VLOOKUP($C42, [1]SBOM!$F:$P, 11, FALSE),VLOOKUP(VALUE($C42), [1]SBOM!$F:$P, 11, FALSE)), 0), 2)))</f>
        <v>6.5</v>
      </c>
    </row>
    <row r="43" spans="1:6">
      <c r="A43" t="s">
        <v>76</v>
      </c>
      <c r="B43">
        <f t="shared" si="0"/>
        <v>12</v>
      </c>
      <c r="C43" s="1" t="s">
        <v>23</v>
      </c>
      <c r="D43" t="str">
        <f>IFERROR(IFERROR(VLOOKUP($C43, [1]SBOM!$F:$G, 2, FALSE), VLOOKUP(VALUE($C43), [1]SBOM!$F:$G, 2, FALSE)), "")</f>
        <v>FlowArt: Trace-By-Line, Fall Harvest</v>
      </c>
      <c r="E43">
        <v>4</v>
      </c>
      <c r="F43" s="2">
        <f>IF(IF(RIGHT($A43,5)="FA160", ROUND(IFERROR(IFERROR(VLOOKUP($C43, [1]SBOM!$F:$P, 11, FALSE),VLOOKUP(VALUE($C43), [1]SBOM!$F:$P, 11, FALSE)), 0), 2)-1.5, ROUND(IFERROR(IFERROR(VLOOKUP($C43, [1]SBOM!$F:$P, 11, FALSE),VLOOKUP(VALUE($C43), [1]SBOM!$F:$P, 11, FALSE)), 0), 2))&lt;0, 0, IF(RIGHT($A43,5)="FA160", ROUND(IFERROR(IFERROR(VLOOKUP($C43, [1]SBOM!$F:$P, 11, FALSE),VLOOKUP(VALUE($C43), [1]SBOM!$F:$P, 11, FALSE)), 0), 2)-1.5, ROUND(IFERROR(IFERROR(VLOOKUP($C43, [1]SBOM!$F:$P, 11, FALSE),VLOOKUP(VALUE($C43), [1]SBOM!$F:$P, 11, FALSE)), 0), 2)))</f>
        <v>6.5</v>
      </c>
    </row>
    <row r="44" spans="1:6">
      <c r="A44" t="s">
        <v>76</v>
      </c>
      <c r="B44">
        <f t="shared" si="0"/>
        <v>13</v>
      </c>
      <c r="C44" s="1" t="s">
        <v>68</v>
      </c>
      <c r="D44" t="str">
        <f>IFERROR(IFERROR(VLOOKUP($C44, [1]SBOM!$F:$G, 2, FALSE), VLOOKUP(VALUE($C44), [1]SBOM!$F:$G, 2, FALSE)), "")</f>
        <v>FlowArt: Dot-By-Letter, Majestic Earth [Metallic ink]</v>
      </c>
      <c r="E44">
        <v>4</v>
      </c>
      <c r="F44" s="2">
        <f>IF(IF(RIGHT($A44,5)="FA160", ROUND(IFERROR(IFERROR(VLOOKUP($C44, [1]SBOM!$F:$P, 11, FALSE),VLOOKUP(VALUE($C44), [1]SBOM!$F:$P, 11, FALSE)), 0), 2)-1.5, ROUND(IFERROR(IFERROR(VLOOKUP($C44, [1]SBOM!$F:$P, 11, FALSE),VLOOKUP(VALUE($C44), [1]SBOM!$F:$P, 11, FALSE)), 0), 2))&lt;0, 0, IF(RIGHT($A44,5)="FA160", ROUND(IFERROR(IFERROR(VLOOKUP($C44, [1]SBOM!$F:$P, 11, FALSE),VLOOKUP(VALUE($C44), [1]SBOM!$F:$P, 11, FALSE)), 0), 2)-1.5, ROUND(IFERROR(IFERROR(VLOOKUP($C44, [1]SBOM!$F:$P, 11, FALSE),VLOOKUP(VALUE($C44), [1]SBOM!$F:$P, 11, FALSE)), 0), 2)))</f>
        <v>6.5</v>
      </c>
    </row>
    <row r="45" spans="1:6">
      <c r="A45" t="s">
        <v>76</v>
      </c>
      <c r="B45">
        <f t="shared" si="0"/>
        <v>14</v>
      </c>
      <c r="C45" s="1" t="s">
        <v>19</v>
      </c>
      <c r="D45" t="str">
        <f>IFERROR(IFERROR(VLOOKUP($C45, [1]SBOM!$F:$G, 2, FALSE), VLOOKUP(VALUE($C45), [1]SBOM!$F:$G, 2, FALSE)), "")</f>
        <v>FlowArt: Trace-By-Line, Tropical Paradise</v>
      </c>
      <c r="E45">
        <v>4</v>
      </c>
      <c r="F45" s="2">
        <f>IF(IF(RIGHT($A45,5)="FA160", ROUND(IFERROR(IFERROR(VLOOKUP($C45, [1]SBOM!$F:$P, 11, FALSE),VLOOKUP(VALUE($C45), [1]SBOM!$F:$P, 11, FALSE)), 0), 2)-1.5, ROUND(IFERROR(IFERROR(VLOOKUP($C45, [1]SBOM!$F:$P, 11, FALSE),VLOOKUP(VALUE($C45), [1]SBOM!$F:$P, 11, FALSE)), 0), 2))&lt;0, 0, IF(RIGHT($A45,5)="FA160", ROUND(IFERROR(IFERROR(VLOOKUP($C45, [1]SBOM!$F:$P, 11, FALSE),VLOOKUP(VALUE($C45), [1]SBOM!$F:$P, 11, FALSE)), 0), 2)-1.5, ROUND(IFERROR(IFERROR(VLOOKUP($C45, [1]SBOM!$F:$P, 11, FALSE),VLOOKUP(VALUE($C45), [1]SBOM!$F:$P, 11, FALSE)), 0), 2)))</f>
        <v>6.5</v>
      </c>
    </row>
    <row r="46" spans="1:6">
      <c r="A46" t="s">
        <v>76</v>
      </c>
      <c r="B46">
        <f t="shared" si="0"/>
        <v>15</v>
      </c>
      <c r="C46" s="1" t="s">
        <v>79</v>
      </c>
      <c r="D46" t="str">
        <f>IFERROR(IFERROR(VLOOKUP($C46, [1]SBOM!$F:$G, 2, FALSE), VLOOKUP(VALUE($C46), [1]SBOM!$F:$G, 2, FALSE)), "")</f>
        <v>FlowArt: Trace-By-Line, Woodland Whimsy</v>
      </c>
      <c r="E46">
        <v>4</v>
      </c>
      <c r="F46" s="2">
        <f>IF(IF(RIGHT($A46,5)="FA160", ROUND(IFERROR(IFERROR(VLOOKUP($C46, [1]SBOM!$F:$P, 11, FALSE),VLOOKUP(VALUE($C46), [1]SBOM!$F:$P, 11, FALSE)), 0), 2)-1.5, ROUND(IFERROR(IFERROR(VLOOKUP($C46, [1]SBOM!$F:$P, 11, FALSE),VLOOKUP(VALUE($C46), [1]SBOM!$F:$P, 11, FALSE)), 0), 2))&lt;0, 0, IF(RIGHT($A46,5)="FA160", ROUND(IFERROR(IFERROR(VLOOKUP($C46, [1]SBOM!$F:$P, 11, FALSE),VLOOKUP(VALUE($C46), [1]SBOM!$F:$P, 11, FALSE)), 0), 2)-1.5, ROUND(IFERROR(IFERROR(VLOOKUP($C46, [1]SBOM!$F:$P, 11, FALSE),VLOOKUP(VALUE($C46), [1]SBOM!$F:$P, 11, FALSE)), 0), 2)))</f>
        <v>6.5</v>
      </c>
    </row>
    <row r="47" spans="1:6">
      <c r="A47" t="s">
        <v>76</v>
      </c>
      <c r="B47">
        <f t="shared" si="0"/>
        <v>16</v>
      </c>
      <c r="C47" s="1" t="s">
        <v>27</v>
      </c>
      <c r="D47" t="str">
        <f>IFERROR(IFERROR(VLOOKUP($C47, [1]SBOM!$F:$G, 2, FALSE), VLOOKUP(VALUE($C47), [1]SBOM!$F:$G, 2, FALSE)), "")</f>
        <v>FlowArt: Dot-By-Letter, Winter's Glow [Metallic ink]</v>
      </c>
      <c r="E47">
        <v>8</v>
      </c>
      <c r="F47" s="2">
        <f>IF(IF(RIGHT($A47,5)="FA160", ROUND(IFERROR(IFERROR(VLOOKUP($C47, [1]SBOM!$F:$P, 11, FALSE),VLOOKUP(VALUE($C47), [1]SBOM!$F:$P, 11, FALSE)), 0), 2)-1.5, ROUND(IFERROR(IFERROR(VLOOKUP($C47, [1]SBOM!$F:$P, 11, FALSE),VLOOKUP(VALUE($C47), [1]SBOM!$F:$P, 11, FALSE)), 0), 2))&lt;0, 0, IF(RIGHT($A47,5)="FA160", ROUND(IFERROR(IFERROR(VLOOKUP($C47, [1]SBOM!$F:$P, 11, FALSE),VLOOKUP(VALUE($C47), [1]SBOM!$F:$P, 11, FALSE)), 0), 2)-1.5, ROUND(IFERROR(IFERROR(VLOOKUP($C47, [1]SBOM!$F:$P, 11, FALSE),VLOOKUP(VALUE($C47), [1]SBOM!$F:$P, 11, FALSE)), 0), 2)))</f>
        <v>6.5</v>
      </c>
    </row>
    <row r="48" spans="1:6">
      <c r="A48" t="s">
        <v>76</v>
      </c>
      <c r="B48">
        <f t="shared" si="0"/>
        <v>17</v>
      </c>
      <c r="C48" s="1" t="s">
        <v>25</v>
      </c>
      <c r="D48" t="str">
        <f>IFERROR(IFERROR(VLOOKUP($C48, [1]SBOM!$F:$G, 2, FALSE), VLOOKUP(VALUE($C48), [1]SBOM!$F:$G, 2, FALSE)), "")</f>
        <v>FlowArt: Dot-By-Letter, Winter Wonderland</v>
      </c>
      <c r="E48">
        <v>8</v>
      </c>
      <c r="F48" s="2">
        <f>IF(IF(RIGHT($A48,5)="FA160", ROUND(IFERROR(IFERROR(VLOOKUP($C48, [1]SBOM!$F:$P, 11, FALSE),VLOOKUP(VALUE($C48), [1]SBOM!$F:$P, 11, FALSE)), 0), 2)-1.5, ROUND(IFERROR(IFERROR(VLOOKUP($C48, [1]SBOM!$F:$P, 11, FALSE),VLOOKUP(VALUE($C48), [1]SBOM!$F:$P, 11, FALSE)), 0), 2))&lt;0, 0, IF(RIGHT($A48,5)="FA160", ROUND(IFERROR(IFERROR(VLOOKUP($C48, [1]SBOM!$F:$P, 11, FALSE),VLOOKUP(VALUE($C48), [1]SBOM!$F:$P, 11, FALSE)), 0), 2)-1.5, ROUND(IFERROR(IFERROR(VLOOKUP($C48, [1]SBOM!$F:$P, 11, FALSE),VLOOKUP(VALUE($C48), [1]SBOM!$F:$P, 11, FALSE)), 0), 2)))</f>
        <v>6.5</v>
      </c>
    </row>
    <row r="49" spans="1:11">
      <c r="A49" t="s">
        <v>76</v>
      </c>
      <c r="B49">
        <f t="shared" si="0"/>
        <v>18</v>
      </c>
      <c r="C49" s="1" t="s">
        <v>32</v>
      </c>
      <c r="D49" t="str">
        <f>IFERROR(IFERROR(VLOOKUP($C49, [1]SBOM!$F:$G, 2, FALSE), VLOOKUP(VALUE($C49), [1]SBOM!$F:$G, 2, FALSE)), "")</f>
        <v>UNIVERSAL COUNTER DISPLAY - EMPTY</v>
      </c>
      <c r="E49">
        <v>1</v>
      </c>
      <c r="F49" s="2">
        <f>IF(IF(RIGHT($A49,5)="FA160", ROUND(IFERROR(IFERROR(VLOOKUP($C49, [1]SBOM!$F:$P, 11, FALSE),VLOOKUP(VALUE($C49), [1]SBOM!$F:$P, 11, FALSE)), 0), 2)-1.5, ROUND(IFERROR(IFERROR(VLOOKUP($C49, [1]SBOM!$F:$P, 11, FALSE),VLOOKUP(VALUE($C49), [1]SBOM!$F:$P, 11, FALSE)), 0), 2))&lt;0, 0, IF(RIGHT($A49,5)="FA160", ROUND(IFERROR(IFERROR(VLOOKUP($C49, [1]SBOM!$F:$P, 11, FALSE),VLOOKUP(VALUE($C49), [1]SBOM!$F:$P, 11, FALSE)), 0), 2)-1.5, ROUND(IFERROR(IFERROR(VLOOKUP($C49, [1]SBOM!$F:$P, 11, FALSE),VLOOKUP(VALUE($C49), [1]SBOM!$F:$P, 11, FALSE)), 0), 2)))</f>
        <v>0</v>
      </c>
    </row>
    <row r="50" spans="1:11">
      <c r="A50" t="s">
        <v>7</v>
      </c>
      <c r="B50">
        <f t="shared" si="0"/>
        <v>1</v>
      </c>
      <c r="C50" s="1" t="s">
        <v>73</v>
      </c>
      <c r="D50" t="str">
        <f>IFERROR(IFERROR(VLOOKUP($C50, [1]SBOM!$F:$G, 2, FALSE), VLOOKUP(VALUE($C50), [1]SBOM!$F:$G, 2, FALSE)), "")</f>
        <v>FA Mini - Counter Display - Empty</v>
      </c>
      <c r="E50">
        <v>1</v>
      </c>
      <c r="F50" s="2">
        <f>IF(IF(RIGHT($A50,5)="FA160", ROUND(IFERROR(IFERROR(VLOOKUP($C50, [1]SBOM!$F:$P, 11, FALSE),VLOOKUP(VALUE($C50), [1]SBOM!$F:$P, 11, FALSE)), 0), 2)-1.5, ROUND(IFERROR(IFERROR(VLOOKUP($C50, [1]SBOM!$F:$P, 11, FALSE),VLOOKUP(VALUE($C50), [1]SBOM!$F:$P, 11, FALSE)), 0), 2))&lt;0, 0, IF(RIGHT($A50,5)="FA160", ROUND(IFERROR(IFERROR(VLOOKUP($C50, [1]SBOM!$F:$P, 11, FALSE),VLOOKUP(VALUE($C50), [1]SBOM!$F:$P, 11, FALSE)), 0), 2)-1.5, ROUND(IFERROR(IFERROR(VLOOKUP($C50, [1]SBOM!$F:$P, 11, FALSE),VLOOKUP(VALUE($C50), [1]SBOM!$F:$P, 11, FALSE)), 0), 2)))</f>
        <v>0</v>
      </c>
    </row>
    <row r="51" spans="1:11">
      <c r="A51" t="s">
        <v>7</v>
      </c>
      <c r="B51">
        <f t="shared" si="0"/>
        <v>2</v>
      </c>
      <c r="C51" s="1" t="s">
        <v>9</v>
      </c>
      <c r="D51" t="str">
        <f>IFERROR(IFERROR(VLOOKUP($C51, [1]SBOM!$F:$G, 2, FALSE), VLOOKUP(VALUE($C51), [1]SBOM!$F:$G, 2, FALSE)), "")</f>
        <v>FlowArt: Mini Single - Café Comforts</v>
      </c>
      <c r="E51">
        <v>6</v>
      </c>
      <c r="F51" s="2">
        <f>IF(IF(RIGHT($A51,5)="FA160", ROUND(IFERROR(IFERROR(VLOOKUP($C51, [1]SBOM!$F:$P, 11, FALSE),VLOOKUP(VALUE($C51), [1]SBOM!$F:$P, 11, FALSE)), 0), 2)-1.5, ROUND(IFERROR(IFERROR(VLOOKUP($C51, [1]SBOM!$F:$P, 11, FALSE),VLOOKUP(VALUE($C51), [1]SBOM!$F:$P, 11, FALSE)), 0), 2))&lt;0, 0, IF(RIGHT($A51,5)="FA160", ROUND(IFERROR(IFERROR(VLOOKUP($C51, [1]SBOM!$F:$P, 11, FALSE),VLOOKUP(VALUE($C51), [1]SBOM!$F:$P, 11, FALSE)), 0), 2)-1.5, ROUND(IFERROR(IFERROR(VLOOKUP($C51, [1]SBOM!$F:$P, 11, FALSE),VLOOKUP(VALUE($C51), [1]SBOM!$F:$P, 11, FALSE)), 0), 2)))</f>
        <v>3.5</v>
      </c>
    </row>
    <row r="52" spans="1:11">
      <c r="A52" t="s">
        <v>7</v>
      </c>
      <c r="B52">
        <f t="shared" si="0"/>
        <v>3</v>
      </c>
      <c r="C52" s="1" t="s">
        <v>10</v>
      </c>
      <c r="D52" t="str">
        <f>IFERROR(IFERROR(VLOOKUP($C52, [1]SBOM!$F:$G, 2, FALSE), VLOOKUP(VALUE($C52), [1]SBOM!$F:$G, 2, FALSE)), "")</f>
        <v>FlowArt: Mini Single - Enchanted Magic</v>
      </c>
      <c r="E52">
        <v>6</v>
      </c>
      <c r="F52" s="2">
        <f>IF(IF(RIGHT($A52,5)="FA160", ROUND(IFERROR(IFERROR(VLOOKUP($C52, [1]SBOM!$F:$P, 11, FALSE),VLOOKUP(VALUE($C52), [1]SBOM!$F:$P, 11, FALSE)), 0), 2)-1.5, ROUND(IFERROR(IFERROR(VLOOKUP($C52, [1]SBOM!$F:$P, 11, FALSE),VLOOKUP(VALUE($C52), [1]SBOM!$F:$P, 11, FALSE)), 0), 2))&lt;0, 0, IF(RIGHT($A52,5)="FA160", ROUND(IFERROR(IFERROR(VLOOKUP($C52, [1]SBOM!$F:$P, 11, FALSE),VLOOKUP(VALUE($C52), [1]SBOM!$F:$P, 11, FALSE)), 0), 2)-1.5, ROUND(IFERROR(IFERROR(VLOOKUP($C52, [1]SBOM!$F:$P, 11, FALSE),VLOOKUP(VALUE($C52), [1]SBOM!$F:$P, 11, FALSE)), 0), 2)))</f>
        <v>3.5</v>
      </c>
    </row>
    <row r="53" spans="1:11">
      <c r="A53" t="s">
        <v>7</v>
      </c>
      <c r="B53">
        <f t="shared" si="0"/>
        <v>4</v>
      </c>
      <c r="C53" s="1" t="s">
        <v>11</v>
      </c>
      <c r="D53" t="str">
        <f>IFERROR(IFERROR(VLOOKUP($C53, [1]SBOM!$F:$G, 2, FALSE), VLOOKUP(VALUE($C53), [1]SBOM!$F:$G, 2, FALSE)), "")</f>
        <v>FlowArt: Mini Single - Pretty Petals</v>
      </c>
      <c r="E53">
        <v>12</v>
      </c>
      <c r="F53" s="2">
        <f>IF(IF(RIGHT($A53,5)="FA160", ROUND(IFERROR(IFERROR(VLOOKUP($C53, [1]SBOM!$F:$P, 11, FALSE),VLOOKUP(VALUE($C53), [1]SBOM!$F:$P, 11, FALSE)), 0), 2)-1.5, ROUND(IFERROR(IFERROR(VLOOKUP($C53, [1]SBOM!$F:$P, 11, FALSE),VLOOKUP(VALUE($C53), [1]SBOM!$F:$P, 11, FALSE)), 0), 2))&lt;0, 0, IF(RIGHT($A53,5)="FA160", ROUND(IFERROR(IFERROR(VLOOKUP($C53, [1]SBOM!$F:$P, 11, FALSE),VLOOKUP(VALUE($C53), [1]SBOM!$F:$P, 11, FALSE)), 0), 2)-1.5, ROUND(IFERROR(IFERROR(VLOOKUP($C53, [1]SBOM!$F:$P, 11, FALSE),VLOOKUP(VALUE($C53), [1]SBOM!$F:$P, 11, FALSE)), 0), 2)))</f>
        <v>3.5</v>
      </c>
    </row>
    <row r="54" spans="1:11">
      <c r="A54" t="s">
        <v>7</v>
      </c>
      <c r="B54">
        <f t="shared" si="0"/>
        <v>5</v>
      </c>
      <c r="C54" s="1" t="s">
        <v>13</v>
      </c>
      <c r="D54" t="str">
        <f>IFERROR(IFERROR(VLOOKUP($C54, [1]SBOM!$F:$G, 2, FALSE), VLOOKUP(VALUE($C54), [1]SBOM!$F:$G, 2, FALSE)), "")</f>
        <v>FlowArt: Mini Single - Furry Friends</v>
      </c>
      <c r="E54">
        <v>12</v>
      </c>
      <c r="F54" s="2">
        <f>IF(IF(RIGHT($A54,5)="FA160", ROUND(IFERROR(IFERROR(VLOOKUP($C54, [1]SBOM!$F:$P, 11, FALSE),VLOOKUP(VALUE($C54), [1]SBOM!$F:$P, 11, FALSE)), 0), 2)-1.5, ROUND(IFERROR(IFERROR(VLOOKUP($C54, [1]SBOM!$F:$P, 11, FALSE),VLOOKUP(VALUE($C54), [1]SBOM!$F:$P, 11, FALSE)), 0), 2))&lt;0, 0, IF(RIGHT($A54,5)="FA160", ROUND(IFERROR(IFERROR(VLOOKUP($C54, [1]SBOM!$F:$P, 11, FALSE),VLOOKUP(VALUE($C54), [1]SBOM!$F:$P, 11, FALSE)), 0), 2)-1.5, ROUND(IFERROR(IFERROR(VLOOKUP($C54, [1]SBOM!$F:$P, 11, FALSE),VLOOKUP(VALUE($C54), [1]SBOM!$F:$P, 11, FALSE)), 0), 2)))</f>
        <v>3.5</v>
      </c>
      <c r="K54" s="7"/>
    </row>
    <row r="55" spans="1:11">
      <c r="A55" t="s">
        <v>7</v>
      </c>
      <c r="B55">
        <f t="shared" si="0"/>
        <v>6</v>
      </c>
      <c r="C55" s="1" t="s">
        <v>12</v>
      </c>
      <c r="D55" t="str">
        <f>IFERROR(IFERROR(VLOOKUP($C55, [1]SBOM!$F:$G, 2, FALSE), VLOOKUP(VALUE($C55), [1]SBOM!$F:$G, 2, FALSE)), "")</f>
        <v>FlowArt: Mini Single - Nature's Wonders</v>
      </c>
      <c r="E55">
        <v>6</v>
      </c>
      <c r="F55" s="2">
        <f>IF(IF(RIGHT($A55,5)="FA160", ROUND(IFERROR(IFERROR(VLOOKUP($C55, [1]SBOM!$F:$P, 11, FALSE),VLOOKUP(VALUE($C55), [1]SBOM!$F:$P, 11, FALSE)), 0), 2)-1.5, ROUND(IFERROR(IFERROR(VLOOKUP($C55, [1]SBOM!$F:$P, 11, FALSE),VLOOKUP(VALUE($C55), [1]SBOM!$F:$P, 11, FALSE)), 0), 2))&lt;0, 0, IF(RIGHT($A55,5)="FA160", ROUND(IFERROR(IFERROR(VLOOKUP($C55, [1]SBOM!$F:$P, 11, FALSE),VLOOKUP(VALUE($C55), [1]SBOM!$F:$P, 11, FALSE)), 0), 2)-1.5, ROUND(IFERROR(IFERROR(VLOOKUP($C55, [1]SBOM!$F:$P, 11, FALSE),VLOOKUP(VALUE($C55), [1]SBOM!$F:$P, 11, FALSE)), 0), 2)))</f>
        <v>3.5</v>
      </c>
      <c r="K55" s="7"/>
    </row>
    <row r="56" spans="1:11">
      <c r="A56" t="s">
        <v>7</v>
      </c>
      <c r="B56">
        <f t="shared" si="0"/>
        <v>7</v>
      </c>
      <c r="C56" s="1" t="s">
        <v>8</v>
      </c>
      <c r="D56" t="str">
        <f>IFERROR(IFERROR(VLOOKUP($C56, [1]SBOM!$F:$G, 2, FALSE), VLOOKUP(VALUE($C56), [1]SBOM!$F:$G, 2, FALSE)), "")</f>
        <v>FlowArt: Mini Single - Pocket Positivity</v>
      </c>
      <c r="E56">
        <v>6</v>
      </c>
      <c r="F56" s="2">
        <f>IF(IF(RIGHT($A56,5)="FA160", ROUND(IFERROR(IFERROR(VLOOKUP($C56, [1]SBOM!$F:$P, 11, FALSE),VLOOKUP(VALUE($C56), [1]SBOM!$F:$P, 11, FALSE)), 0), 2)-1.5, ROUND(IFERROR(IFERROR(VLOOKUP($C56, [1]SBOM!$F:$P, 11, FALSE),VLOOKUP(VALUE($C56), [1]SBOM!$F:$P, 11, FALSE)), 0), 2))&lt;0, 0, IF(RIGHT($A56,5)="FA160", ROUND(IFERROR(IFERROR(VLOOKUP($C56, [1]SBOM!$F:$P, 11, FALSE),VLOOKUP(VALUE($C56), [1]SBOM!$F:$P, 11, FALSE)), 0), 2)-1.5, ROUND(IFERROR(IFERROR(VLOOKUP($C56, [1]SBOM!$F:$P, 11, FALSE),VLOOKUP(VALUE($C56), [1]SBOM!$F:$P, 11, FALSE)), 0), 2)))</f>
        <v>3.5</v>
      </c>
      <c r="K56" s="7"/>
    </row>
    <row r="57" spans="1:11">
      <c r="A57" t="s">
        <v>15</v>
      </c>
      <c r="B57">
        <f t="shared" si="0"/>
        <v>1</v>
      </c>
      <c r="C57" s="1" t="s">
        <v>77</v>
      </c>
      <c r="D57" t="str">
        <f>IFERROR(IFERROR(VLOOKUP($C57, [1]SBOM!$F:$G, 2, FALSE), VLOOKUP(VALUE($C57), [1]SBOM!$F:$G, 2, FALSE)), "")</f>
        <v>FA Holiday Mini - Counter Display - Full</v>
      </c>
      <c r="E57">
        <v>1</v>
      </c>
      <c r="F57" s="2">
        <f>IF(IF(RIGHT($A57,5)="FA160", ROUND(IFERROR(IFERROR(VLOOKUP($C57, [1]SBOM!$F:$P, 11, FALSE),VLOOKUP(VALUE($C57), [1]SBOM!$F:$P, 11, FALSE)), 0), 2)-1.5, ROUND(IFERROR(IFERROR(VLOOKUP($C57, [1]SBOM!$F:$P, 11, FALSE),VLOOKUP(VALUE($C57), [1]SBOM!$F:$P, 11, FALSE)), 0), 2))&lt;0, 0, IF(RIGHT($A57,5)="FA160", ROUND(IFERROR(IFERROR(VLOOKUP($C57, [1]SBOM!$F:$P, 11, FALSE),VLOOKUP(VALUE($C57), [1]SBOM!$F:$P, 11, FALSE)), 0), 2)-1.5, ROUND(IFERROR(IFERROR(VLOOKUP($C57, [1]SBOM!$F:$P, 11, FALSE),VLOOKUP(VALUE($C57), [1]SBOM!$F:$P, 11, FALSE)), 0), 2)))</f>
        <v>126</v>
      </c>
      <c r="K57" s="7"/>
    </row>
    <row r="58" spans="1:11">
      <c r="A58" t="s">
        <v>28</v>
      </c>
      <c r="B58">
        <f t="shared" si="0"/>
        <v>1</v>
      </c>
      <c r="C58" s="1" t="s">
        <v>74</v>
      </c>
      <c r="D58" t="str">
        <f>IFERROR(IFERROR(VLOOKUP($C58, [1]SBOM!$F:$G, 2, FALSE), VLOOKUP(VALUE($C58), [1]SBOM!$F:$G, 2, FALSE)), "")</f>
        <v>Pen Display - Empty</v>
      </c>
      <c r="E58">
        <v>2</v>
      </c>
      <c r="F58" s="2">
        <f>IF(IF(RIGHT($A58,5)="FA160", ROUND(IFERROR(IFERROR(VLOOKUP($C58, [1]SBOM!$F:$P, 11, FALSE),VLOOKUP(VALUE($C58), [1]SBOM!$F:$P, 11, FALSE)), 0), 2)-1.5, ROUND(IFERROR(IFERROR(VLOOKUP($C58, [1]SBOM!$F:$P, 11, FALSE),VLOOKUP(VALUE($C58), [1]SBOM!$F:$P, 11, FALSE)), 0), 2))&lt;0, 0, IF(RIGHT($A58,5)="FA160", ROUND(IFERROR(IFERROR(VLOOKUP($C58, [1]SBOM!$F:$P, 11, FALSE),VLOOKUP(VALUE($C58), [1]SBOM!$F:$P, 11, FALSE)), 0), 2)-1.5, ROUND(IFERROR(IFERROR(VLOOKUP($C58, [1]SBOM!$F:$P, 11, FALSE),VLOOKUP(VALUE($C58), [1]SBOM!$F:$P, 11, FALSE)), 0), 2)))</f>
        <v>6</v>
      </c>
      <c r="K58" s="7"/>
    </row>
    <row r="59" spans="1:11">
      <c r="A59" t="s">
        <v>28</v>
      </c>
      <c r="B59">
        <f t="shared" si="0"/>
        <v>2</v>
      </c>
      <c r="C59" s="1" t="s">
        <v>29</v>
      </c>
      <c r="D59" t="str">
        <f>IFERROR(IFERROR(VLOOKUP($C59, [1]SBOM!$F:$G, 2, FALSE), VLOOKUP(VALUE($C59), [1]SBOM!$F:$G, 2, FALSE)), "")</f>
        <v>FlowArt: Dot-By-Letter, Into the Galaxy [Metallic ink]</v>
      </c>
      <c r="E59">
        <v>8</v>
      </c>
      <c r="F59" s="2">
        <f>IF(IF(RIGHT($A59,5)="FA160", ROUND(IFERROR(IFERROR(VLOOKUP($C59, [1]SBOM!$F:$P, 11, FALSE),VLOOKUP(VALUE($C59), [1]SBOM!$F:$P, 11, FALSE)), 0), 2)-1.5, ROUND(IFERROR(IFERROR(VLOOKUP($C59, [1]SBOM!$F:$P, 11, FALSE),VLOOKUP(VALUE($C59), [1]SBOM!$F:$P, 11, FALSE)), 0), 2))&lt;0, 0, IF(RIGHT($A59,5)="FA160", ROUND(IFERROR(IFERROR(VLOOKUP($C59, [1]SBOM!$F:$P, 11, FALSE),VLOOKUP(VALUE($C59), [1]SBOM!$F:$P, 11, FALSE)), 0), 2)-1.5, ROUND(IFERROR(IFERROR(VLOOKUP($C59, [1]SBOM!$F:$P, 11, FALSE),VLOOKUP(VALUE($C59), [1]SBOM!$F:$P, 11, FALSE)), 0), 2)))</f>
        <v>6.5</v>
      </c>
      <c r="K59" s="7"/>
    </row>
    <row r="60" spans="1:11">
      <c r="A60" t="s">
        <v>28</v>
      </c>
      <c r="B60">
        <f t="shared" si="0"/>
        <v>3</v>
      </c>
      <c r="C60" s="1" t="s">
        <v>16</v>
      </c>
      <c r="D60" t="str">
        <f>IFERROR(IFERROR(VLOOKUP($C60, [1]SBOM!$F:$G, 2, FALSE), VLOOKUP(VALUE($C60), [1]SBOM!$F:$G, 2, FALSE)), "")</f>
        <v>FlowArt: Dot-By-Letter, Cozy Cottage</v>
      </c>
      <c r="E60">
        <v>4</v>
      </c>
      <c r="F60" s="2">
        <f>IF(IF(RIGHT($A60,5)="FA160", ROUND(IFERROR(IFERROR(VLOOKUP($C60, [1]SBOM!$F:$P, 11, FALSE),VLOOKUP(VALUE($C60), [1]SBOM!$F:$P, 11, FALSE)), 0), 2)-1.5, ROUND(IFERROR(IFERROR(VLOOKUP($C60, [1]SBOM!$F:$P, 11, FALSE),VLOOKUP(VALUE($C60), [1]SBOM!$F:$P, 11, FALSE)), 0), 2))&lt;0, 0, IF(RIGHT($A60,5)="FA160", ROUND(IFERROR(IFERROR(VLOOKUP($C60, [1]SBOM!$F:$P, 11, FALSE),VLOOKUP(VALUE($C60), [1]SBOM!$F:$P, 11, FALSE)), 0), 2)-1.5, ROUND(IFERROR(IFERROR(VLOOKUP($C60, [1]SBOM!$F:$P, 11, FALSE),VLOOKUP(VALUE($C60), [1]SBOM!$F:$P, 11, FALSE)), 0), 2)))</f>
        <v>6.5</v>
      </c>
      <c r="K60" s="7"/>
    </row>
    <row r="61" spans="1:11">
      <c r="A61" t="s">
        <v>28</v>
      </c>
      <c r="B61">
        <f t="shared" si="0"/>
        <v>4</v>
      </c>
      <c r="C61" s="1" t="s">
        <v>30</v>
      </c>
      <c r="D61" t="str">
        <f>IFERROR(IFERROR(VLOOKUP($C61, [1]SBOM!$F:$G, 2, FALSE), VLOOKUP(VALUE($C61), [1]SBOM!$F:$G, 2, FALSE)), "")</f>
        <v>FlowArt: Dot-By-Letter, Into the Deep [Metallic ink]</v>
      </c>
      <c r="E61">
        <v>4</v>
      </c>
      <c r="F61" s="2">
        <f>IF(IF(RIGHT($A61,5)="FA160", ROUND(IFERROR(IFERROR(VLOOKUP($C61, [1]SBOM!$F:$P, 11, FALSE),VLOOKUP(VALUE($C61), [1]SBOM!$F:$P, 11, FALSE)), 0), 2)-1.5, ROUND(IFERROR(IFERROR(VLOOKUP($C61, [1]SBOM!$F:$P, 11, FALSE),VLOOKUP(VALUE($C61), [1]SBOM!$F:$P, 11, FALSE)), 0), 2))&lt;0, 0, IF(RIGHT($A61,5)="FA160", ROUND(IFERROR(IFERROR(VLOOKUP($C61, [1]SBOM!$F:$P, 11, FALSE),VLOOKUP(VALUE($C61), [1]SBOM!$F:$P, 11, FALSE)), 0), 2)-1.5, ROUND(IFERROR(IFERROR(VLOOKUP($C61, [1]SBOM!$F:$P, 11, FALSE),VLOOKUP(VALUE($C61), [1]SBOM!$F:$P, 11, FALSE)), 0), 2)))</f>
        <v>6.5</v>
      </c>
      <c r="K61" s="7"/>
    </row>
    <row r="62" spans="1:11">
      <c r="A62" t="s">
        <v>28</v>
      </c>
      <c r="B62">
        <f t="shared" si="0"/>
        <v>5</v>
      </c>
      <c r="C62" s="1" t="s">
        <v>69</v>
      </c>
      <c r="D62" t="str">
        <f>IFERROR(IFERROR(VLOOKUP($C62, [1]SBOM!$F:$G, 2, FALSE), VLOOKUP(VALUE($C62), [1]SBOM!$F:$G, 2, FALSE)), "")</f>
        <v>FlowArt: Dot-By-Letter, Everyday Inspiration</v>
      </c>
      <c r="E62">
        <v>4</v>
      </c>
      <c r="F62" s="2">
        <f>IF(IF(RIGHT($A62,5)="FA160", ROUND(IFERROR(IFERROR(VLOOKUP($C62, [1]SBOM!$F:$P, 11, FALSE),VLOOKUP(VALUE($C62), [1]SBOM!$F:$P, 11, FALSE)), 0), 2)-1.5, ROUND(IFERROR(IFERROR(VLOOKUP($C62, [1]SBOM!$F:$P, 11, FALSE),VLOOKUP(VALUE($C62), [1]SBOM!$F:$P, 11, FALSE)), 0), 2))&lt;0, 0, IF(RIGHT($A62,5)="FA160", ROUND(IFERROR(IFERROR(VLOOKUP($C62, [1]SBOM!$F:$P, 11, FALSE),VLOOKUP(VALUE($C62), [1]SBOM!$F:$P, 11, FALSE)), 0), 2)-1.5, ROUND(IFERROR(IFERROR(VLOOKUP($C62, [1]SBOM!$F:$P, 11, FALSE),VLOOKUP(VALUE($C62), [1]SBOM!$F:$P, 11, FALSE)), 0), 2)))</f>
        <v>6.5</v>
      </c>
      <c r="K62" s="7"/>
    </row>
    <row r="63" spans="1:11">
      <c r="A63" t="s">
        <v>28</v>
      </c>
      <c r="B63">
        <f t="shared" si="0"/>
        <v>6</v>
      </c>
      <c r="C63" s="1" t="s">
        <v>49</v>
      </c>
      <c r="D63" t="str">
        <f>IFERROR(IFERROR(VLOOKUP($C63, [1]SBOM!$F:$G, 2, FALSE), VLOOKUP(VALUE($C63), [1]SBOM!$F:$G, 2, FALSE)), "")</f>
        <v>FlowArt: Dot-By-Letter, Wags &amp; Whiskers</v>
      </c>
      <c r="E63">
        <v>8</v>
      </c>
      <c r="F63" s="2">
        <f>IF(IF(RIGHT($A63,5)="FA160", ROUND(IFERROR(IFERROR(VLOOKUP($C63, [1]SBOM!$F:$P, 11, FALSE),VLOOKUP(VALUE($C63), [1]SBOM!$F:$P, 11, FALSE)), 0), 2)-1.5, ROUND(IFERROR(IFERROR(VLOOKUP($C63, [1]SBOM!$F:$P, 11, FALSE),VLOOKUP(VALUE($C63), [1]SBOM!$F:$P, 11, FALSE)), 0), 2))&lt;0, 0, IF(RIGHT($A63,5)="FA160", ROUND(IFERROR(IFERROR(VLOOKUP($C63, [1]SBOM!$F:$P, 11, FALSE),VLOOKUP(VALUE($C63), [1]SBOM!$F:$P, 11, FALSE)), 0), 2)-1.5, ROUND(IFERROR(IFERROR(VLOOKUP($C63, [1]SBOM!$F:$P, 11, FALSE),VLOOKUP(VALUE($C63), [1]SBOM!$F:$P, 11, FALSE)), 0), 2)))</f>
        <v>6.5</v>
      </c>
      <c r="K63" s="7"/>
    </row>
    <row r="64" spans="1:11">
      <c r="A64" t="s">
        <v>28</v>
      </c>
      <c r="B64">
        <f t="shared" si="0"/>
        <v>7</v>
      </c>
      <c r="C64" s="1" t="s">
        <v>23</v>
      </c>
      <c r="D64" t="str">
        <f>IFERROR(IFERROR(VLOOKUP($C64, [1]SBOM!$F:$G, 2, FALSE), VLOOKUP(VALUE($C64), [1]SBOM!$F:$G, 2, FALSE)), "")</f>
        <v>FlowArt: Trace-By-Line, Fall Harvest</v>
      </c>
      <c r="E64">
        <v>4</v>
      </c>
      <c r="F64" s="2">
        <f>IF(IF(RIGHT($A64,5)="FA160", ROUND(IFERROR(IFERROR(VLOOKUP($C64, [1]SBOM!$F:$P, 11, FALSE),VLOOKUP(VALUE($C64), [1]SBOM!$F:$P, 11, FALSE)), 0), 2)-1.5, ROUND(IFERROR(IFERROR(VLOOKUP($C64, [1]SBOM!$F:$P, 11, FALSE),VLOOKUP(VALUE($C64), [1]SBOM!$F:$P, 11, FALSE)), 0), 2))&lt;0, 0, IF(RIGHT($A64,5)="FA160", ROUND(IFERROR(IFERROR(VLOOKUP($C64, [1]SBOM!$F:$P, 11, FALSE),VLOOKUP(VALUE($C64), [1]SBOM!$F:$P, 11, FALSE)), 0), 2)-1.5, ROUND(IFERROR(IFERROR(VLOOKUP($C64, [1]SBOM!$F:$P, 11, FALSE),VLOOKUP(VALUE($C64), [1]SBOM!$F:$P, 11, FALSE)), 0), 2)))</f>
        <v>6.5</v>
      </c>
      <c r="K64" s="7"/>
    </row>
    <row r="65" spans="1:11">
      <c r="A65" t="s">
        <v>28</v>
      </c>
      <c r="B65">
        <f t="shared" si="0"/>
        <v>8</v>
      </c>
      <c r="C65" s="1" t="s">
        <v>68</v>
      </c>
      <c r="D65" t="str">
        <f>IFERROR(IFERROR(VLOOKUP($C65, [1]SBOM!$F:$G, 2, FALSE), VLOOKUP(VALUE($C65), [1]SBOM!$F:$G, 2, FALSE)), "")</f>
        <v>FlowArt: Dot-By-Letter, Majestic Earth [Metallic ink]</v>
      </c>
      <c r="E65">
        <v>4</v>
      </c>
      <c r="F65" s="2">
        <f>IF(IF(RIGHT($A65,5)="FA160", ROUND(IFERROR(IFERROR(VLOOKUP($C65, [1]SBOM!$F:$P, 11, FALSE),VLOOKUP(VALUE($C65), [1]SBOM!$F:$P, 11, FALSE)), 0), 2)-1.5, ROUND(IFERROR(IFERROR(VLOOKUP($C65, [1]SBOM!$F:$P, 11, FALSE),VLOOKUP(VALUE($C65), [1]SBOM!$F:$P, 11, FALSE)), 0), 2))&lt;0, 0, IF(RIGHT($A65,5)="FA160", ROUND(IFERROR(IFERROR(VLOOKUP($C65, [1]SBOM!$F:$P, 11, FALSE),VLOOKUP(VALUE($C65), [1]SBOM!$F:$P, 11, FALSE)), 0), 2)-1.5, ROUND(IFERROR(IFERROR(VLOOKUP($C65, [1]SBOM!$F:$P, 11, FALSE),VLOOKUP(VALUE($C65), [1]SBOM!$F:$P, 11, FALSE)), 0), 2)))</f>
        <v>6.5</v>
      </c>
      <c r="K65" s="7"/>
    </row>
    <row r="66" spans="1:11">
      <c r="A66" t="s">
        <v>28</v>
      </c>
      <c r="B66">
        <f t="shared" si="0"/>
        <v>9</v>
      </c>
      <c r="C66" s="1" t="s">
        <v>19</v>
      </c>
      <c r="D66" t="str">
        <f>IFERROR(IFERROR(VLOOKUP($C66, [1]SBOM!$F:$G, 2, FALSE), VLOOKUP(VALUE($C66), [1]SBOM!$F:$G, 2, FALSE)), "")</f>
        <v>FlowArt: Trace-By-Line, Tropical Paradise</v>
      </c>
      <c r="E66">
        <v>4</v>
      </c>
      <c r="F66" s="2">
        <f>IF(IF(RIGHT($A66,5)="FA160", ROUND(IFERROR(IFERROR(VLOOKUP($C66, [1]SBOM!$F:$P, 11, FALSE),VLOOKUP(VALUE($C66), [1]SBOM!$F:$P, 11, FALSE)), 0), 2)-1.5, ROUND(IFERROR(IFERROR(VLOOKUP($C66, [1]SBOM!$F:$P, 11, FALSE),VLOOKUP(VALUE($C66), [1]SBOM!$F:$P, 11, FALSE)), 0), 2))&lt;0, 0, IF(RIGHT($A66,5)="FA160", ROUND(IFERROR(IFERROR(VLOOKUP($C66, [1]SBOM!$F:$P, 11, FALSE),VLOOKUP(VALUE($C66), [1]SBOM!$F:$P, 11, FALSE)), 0), 2)-1.5, ROUND(IFERROR(IFERROR(VLOOKUP($C66, [1]SBOM!$F:$P, 11, FALSE),VLOOKUP(VALUE($C66), [1]SBOM!$F:$P, 11, FALSE)), 0), 2)))</f>
        <v>6.5</v>
      </c>
      <c r="K66" s="7"/>
    </row>
    <row r="67" spans="1:11">
      <c r="A67" t="s">
        <v>28</v>
      </c>
      <c r="B67">
        <f t="shared" si="0"/>
        <v>10</v>
      </c>
      <c r="C67" s="1" t="s">
        <v>79</v>
      </c>
      <c r="D67" t="str">
        <f>IFERROR(IFERROR(VLOOKUP($C67, [1]SBOM!$F:$G, 2, FALSE), VLOOKUP(VALUE($C67), [1]SBOM!$F:$G, 2, FALSE)), "")</f>
        <v>FlowArt: Trace-By-Line, Woodland Whimsy</v>
      </c>
      <c r="E67">
        <v>4</v>
      </c>
      <c r="F67" s="2">
        <f>IF(IF(RIGHT($A67,5)="FA160", ROUND(IFERROR(IFERROR(VLOOKUP($C67, [1]SBOM!$F:$P, 11, FALSE),VLOOKUP(VALUE($C67), [1]SBOM!$F:$P, 11, FALSE)), 0), 2)-1.5, ROUND(IFERROR(IFERROR(VLOOKUP($C67, [1]SBOM!$F:$P, 11, FALSE),VLOOKUP(VALUE($C67), [1]SBOM!$F:$P, 11, FALSE)), 0), 2))&lt;0, 0, IF(RIGHT($A67,5)="FA160", ROUND(IFERROR(IFERROR(VLOOKUP($C67, [1]SBOM!$F:$P, 11, FALSE),VLOOKUP(VALUE($C67), [1]SBOM!$F:$P, 11, FALSE)), 0), 2)-1.5, ROUND(IFERROR(IFERROR(VLOOKUP($C67, [1]SBOM!$F:$P, 11, FALSE),VLOOKUP(VALUE($C67), [1]SBOM!$F:$P, 11, FALSE)), 0), 2)))</f>
        <v>6.5</v>
      </c>
    </row>
    <row r="68" spans="1:11">
      <c r="A68" t="s">
        <v>28</v>
      </c>
      <c r="B68">
        <f t="shared" si="0"/>
        <v>11</v>
      </c>
      <c r="C68" s="1" t="s">
        <v>27</v>
      </c>
      <c r="D68" t="str">
        <f>IFERROR(IFERROR(VLOOKUP($C68, [1]SBOM!$F:$G, 2, FALSE), VLOOKUP(VALUE($C68), [1]SBOM!$F:$G, 2, FALSE)), "")</f>
        <v>FlowArt: Dot-By-Letter, Winter's Glow [Metallic ink]</v>
      </c>
      <c r="E68">
        <v>8</v>
      </c>
      <c r="F68" s="2">
        <f>IF(IF(RIGHT($A68,5)="FA160", ROUND(IFERROR(IFERROR(VLOOKUP($C68, [1]SBOM!$F:$P, 11, FALSE),VLOOKUP(VALUE($C68), [1]SBOM!$F:$P, 11, FALSE)), 0), 2)-1.5, ROUND(IFERROR(IFERROR(VLOOKUP($C68, [1]SBOM!$F:$P, 11, FALSE),VLOOKUP(VALUE($C68), [1]SBOM!$F:$P, 11, FALSE)), 0), 2))&lt;0, 0, IF(RIGHT($A68,5)="FA160", ROUND(IFERROR(IFERROR(VLOOKUP($C68, [1]SBOM!$F:$P, 11, FALSE),VLOOKUP(VALUE($C68), [1]SBOM!$F:$P, 11, FALSE)), 0), 2)-1.5, ROUND(IFERROR(IFERROR(VLOOKUP($C68, [1]SBOM!$F:$P, 11, FALSE),VLOOKUP(VALUE($C68), [1]SBOM!$F:$P, 11, FALSE)), 0), 2)))</f>
        <v>6.5</v>
      </c>
    </row>
    <row r="69" spans="1:11">
      <c r="A69" t="s">
        <v>28</v>
      </c>
      <c r="B69">
        <f t="shared" si="0"/>
        <v>12</v>
      </c>
      <c r="C69" s="1" t="s">
        <v>25</v>
      </c>
      <c r="D69" t="str">
        <f>IFERROR(IFERROR(VLOOKUP($C69, [1]SBOM!$F:$G, 2, FALSE), VLOOKUP(VALUE($C69), [1]SBOM!$F:$G, 2, FALSE)), "")</f>
        <v>FlowArt: Dot-By-Letter, Winter Wonderland</v>
      </c>
      <c r="E69">
        <v>8</v>
      </c>
      <c r="F69" s="2">
        <f>IF(IF(RIGHT($A69,5)="FA160", ROUND(IFERROR(IFERROR(VLOOKUP($C69, [1]SBOM!$F:$P, 11, FALSE),VLOOKUP(VALUE($C69), [1]SBOM!$F:$P, 11, FALSE)), 0), 2)-1.5, ROUND(IFERROR(IFERROR(VLOOKUP($C69, [1]SBOM!$F:$P, 11, FALSE),VLOOKUP(VALUE($C69), [1]SBOM!$F:$P, 11, FALSE)), 0), 2))&lt;0, 0, IF(RIGHT($A69,5)="FA160", ROUND(IFERROR(IFERROR(VLOOKUP($C69, [1]SBOM!$F:$P, 11, FALSE),VLOOKUP(VALUE($C69), [1]SBOM!$F:$P, 11, FALSE)), 0), 2)-1.5, ROUND(IFERROR(IFERROR(VLOOKUP($C69, [1]SBOM!$F:$P, 11, FALSE),VLOOKUP(VALUE($C69), [1]SBOM!$F:$P, 11, FALSE)), 0), 2)))</f>
        <v>6.5</v>
      </c>
    </row>
    <row r="70" spans="1:11">
      <c r="A70" t="s">
        <v>35</v>
      </c>
      <c r="B70">
        <f t="shared" si="0"/>
        <v>1</v>
      </c>
      <c r="C70" s="1" t="s">
        <v>36</v>
      </c>
      <c r="D70" t="str">
        <f>IFERROR(IFERROR(VLOOKUP($C70, [1]SBOM!$F:$G, 2, FALSE), VLOOKUP(VALUE($C70), [1]SBOM!$F:$G, 2, FALSE)), "")</f>
        <v>Pen Diffuser with Essential Oil Blends - In Bloom</v>
      </c>
      <c r="E70">
        <v>6</v>
      </c>
      <c r="F70" s="2">
        <f>IF(IF(RIGHT($A70,5)="FA160", ROUND(IFERROR(IFERROR(VLOOKUP($C70, [1]SBOM!$F:$P, 11, FALSE),VLOOKUP(VALUE($C70), [1]SBOM!$F:$P, 11, FALSE)), 0), 2)-1.5, ROUND(IFERROR(IFERROR(VLOOKUP($C70, [1]SBOM!$F:$P, 11, FALSE),VLOOKUP(VALUE($C70), [1]SBOM!$F:$P, 11, FALSE)), 0), 2))&lt;0, 0, IF(RIGHT($A70,5)="FA160", ROUND(IFERROR(IFERROR(VLOOKUP($C70, [1]SBOM!$F:$P, 11, FALSE),VLOOKUP(VALUE($C70), [1]SBOM!$F:$P, 11, FALSE)), 0), 2)-1.5, ROUND(IFERROR(IFERROR(VLOOKUP($C70, [1]SBOM!$F:$P, 11, FALSE),VLOOKUP(VALUE($C70), [1]SBOM!$F:$P, 11, FALSE)), 0), 2)))</f>
        <v>6.5</v>
      </c>
    </row>
    <row r="71" spans="1:11">
      <c r="A71" t="s">
        <v>35</v>
      </c>
      <c r="B71">
        <f t="shared" si="0"/>
        <v>2</v>
      </c>
      <c r="C71" s="1" t="s">
        <v>37</v>
      </c>
      <c r="D71" t="str">
        <f>IFERROR(IFERROR(VLOOKUP($C71, [1]SBOM!$F:$G, 2, FALSE), VLOOKUP(VALUE($C71), [1]SBOM!$F:$G, 2, FALSE)), "")</f>
        <v>Pen Diffuser with  Essential Oil Blends - Citrus Grove</v>
      </c>
      <c r="E71">
        <v>6</v>
      </c>
      <c r="F71" s="2">
        <f>IF(IF(RIGHT($A71,5)="FA160", ROUND(IFERROR(IFERROR(VLOOKUP($C71, [1]SBOM!$F:$P, 11, FALSE),VLOOKUP(VALUE($C71), [1]SBOM!$F:$P, 11, FALSE)), 0), 2)-1.5, ROUND(IFERROR(IFERROR(VLOOKUP($C71, [1]SBOM!$F:$P, 11, FALSE),VLOOKUP(VALUE($C71), [1]SBOM!$F:$P, 11, FALSE)), 0), 2))&lt;0, 0, IF(RIGHT($A71,5)="FA160", ROUND(IFERROR(IFERROR(VLOOKUP($C71, [1]SBOM!$F:$P, 11, FALSE),VLOOKUP(VALUE($C71), [1]SBOM!$F:$P, 11, FALSE)), 0), 2)-1.5, ROUND(IFERROR(IFERROR(VLOOKUP($C71, [1]SBOM!$F:$P, 11, FALSE),VLOOKUP(VALUE($C71), [1]SBOM!$F:$P, 11, FALSE)), 0), 2)))</f>
        <v>6.5</v>
      </c>
    </row>
    <row r="72" spans="1:11">
      <c r="A72" t="s">
        <v>35</v>
      </c>
      <c r="B72">
        <f t="shared" si="0"/>
        <v>3</v>
      </c>
      <c r="C72" s="1" t="s">
        <v>38</v>
      </c>
      <c r="D72" t="str">
        <f>IFERROR(IFERROR(VLOOKUP($C72, [1]SBOM!$F:$G, 2, FALSE), VLOOKUP(VALUE($C72), [1]SBOM!$F:$G, 2, FALSE)), "")</f>
        <v xml:space="preserve">Scented Lava Pen Set - 2-pack (Blue / Green) </v>
      </c>
      <c r="E72">
        <v>4</v>
      </c>
      <c r="F72" s="2">
        <f>IF(IF(RIGHT($A72,5)="FA160", ROUND(IFERROR(IFERROR(VLOOKUP($C72, [1]SBOM!$F:$P, 11, FALSE),VLOOKUP(VALUE($C72), [1]SBOM!$F:$P, 11, FALSE)), 0), 2)-1.5, ROUND(IFERROR(IFERROR(VLOOKUP($C72, [1]SBOM!$F:$P, 11, FALSE),VLOOKUP(VALUE($C72), [1]SBOM!$F:$P, 11, FALSE)), 0), 2))&lt;0, 0, IF(RIGHT($A72,5)="FA160", ROUND(IFERROR(IFERROR(VLOOKUP($C72, [1]SBOM!$F:$P, 11, FALSE),VLOOKUP(VALUE($C72), [1]SBOM!$F:$P, 11, FALSE)), 0), 2)-1.5, ROUND(IFERROR(IFERROR(VLOOKUP($C72, [1]SBOM!$F:$P, 11, FALSE),VLOOKUP(VALUE($C72), [1]SBOM!$F:$P, 11, FALSE)), 0), 2)))</f>
        <v>6.5</v>
      </c>
    </row>
    <row r="73" spans="1:11">
      <c r="A73" t="s">
        <v>35</v>
      </c>
      <c r="B73">
        <f t="shared" ref="B73:B136" si="1">IF(A72=A73, B72+1, 1)</f>
        <v>4</v>
      </c>
      <c r="C73" s="1" t="s">
        <v>39</v>
      </c>
      <c r="D73" t="str">
        <f>IFERROR(IFERROR(VLOOKUP($C73, [1]SBOM!$F:$G, 2, FALSE), VLOOKUP(VALUE($C73), [1]SBOM!$F:$G, 2, FALSE)), "")</f>
        <v>Scented Lava Pen Set- 5-pack (Brights)</v>
      </c>
      <c r="E73">
        <v>4</v>
      </c>
      <c r="F73" s="2">
        <f>IF(IF(RIGHT($A73,5)="FA160", ROUND(IFERROR(IFERROR(VLOOKUP($C73, [1]SBOM!$F:$P, 11, FALSE),VLOOKUP(VALUE($C73), [1]SBOM!$F:$P, 11, FALSE)), 0), 2)-1.5, ROUND(IFERROR(IFERROR(VLOOKUP($C73, [1]SBOM!$F:$P, 11, FALSE),VLOOKUP(VALUE($C73), [1]SBOM!$F:$P, 11, FALSE)), 0), 2))&lt;0, 0, IF(RIGHT($A73,5)="FA160", ROUND(IFERROR(IFERROR(VLOOKUP($C73, [1]SBOM!$F:$P, 11, FALSE),VLOOKUP(VALUE($C73), [1]SBOM!$F:$P, 11, FALSE)), 0), 2)-1.5, ROUND(IFERROR(IFERROR(VLOOKUP($C73, [1]SBOM!$F:$P, 11, FALSE),VLOOKUP(VALUE($C73), [1]SBOM!$F:$P, 11, FALSE)), 0), 2)))</f>
        <v>10</v>
      </c>
    </row>
    <row r="74" spans="1:11">
      <c r="A74" t="s">
        <v>35</v>
      </c>
      <c r="B74">
        <f t="shared" si="1"/>
        <v>5</v>
      </c>
      <c r="C74" s="1" t="s">
        <v>40</v>
      </c>
      <c r="D74" t="str">
        <f>IFERROR(IFERROR(VLOOKUP($C74, [1]SBOM!$F:$G, 2, FALSE), VLOOKUP(VALUE($C74), [1]SBOM!$F:$G, 2, FALSE)), "")</f>
        <v>Rub &amp; Sniff™ Scented Colored Pencils - 10-pack (Classic Palette)</v>
      </c>
      <c r="E74">
        <v>4</v>
      </c>
      <c r="F74" s="2">
        <f>IF(IF(RIGHT($A74,5)="FA160", ROUND(IFERROR(IFERROR(VLOOKUP($C74, [1]SBOM!$F:$P, 11, FALSE),VLOOKUP(VALUE($C74), [1]SBOM!$F:$P, 11, FALSE)), 0), 2)-1.5, ROUND(IFERROR(IFERROR(VLOOKUP($C74, [1]SBOM!$F:$P, 11, FALSE),VLOOKUP(VALUE($C74), [1]SBOM!$F:$P, 11, FALSE)), 0), 2))&lt;0, 0, IF(RIGHT($A74,5)="FA160", ROUND(IFERROR(IFERROR(VLOOKUP($C74, [1]SBOM!$F:$P, 11, FALSE),VLOOKUP(VALUE($C74), [1]SBOM!$F:$P, 11, FALSE)), 0), 2)-1.5, ROUND(IFERROR(IFERROR(VLOOKUP($C74, [1]SBOM!$F:$P, 11, FALSE),VLOOKUP(VALUE($C74), [1]SBOM!$F:$P, 11, FALSE)), 0), 2)))</f>
        <v>6.5</v>
      </c>
    </row>
    <row r="75" spans="1:11">
      <c r="A75" t="s">
        <v>35</v>
      </c>
      <c r="B75">
        <f t="shared" si="1"/>
        <v>6</v>
      </c>
      <c r="C75" s="1" t="s">
        <v>41</v>
      </c>
      <c r="D75" t="str">
        <f>IFERROR(IFERROR(VLOOKUP($C75, [1]SBOM!$F:$G, 2, FALSE), VLOOKUP(VALUE($C75), [1]SBOM!$F:$G, 2, FALSE)), "")</f>
        <v>Pen Diffuser with Essential Oil Blends -  Spiced Chai Latte</v>
      </c>
      <c r="E75">
        <v>4</v>
      </c>
      <c r="F75" s="2">
        <f>IF(IF(RIGHT($A75,5)="FA160", ROUND(IFERROR(IFERROR(VLOOKUP($C75, [1]SBOM!$F:$P, 11, FALSE),VLOOKUP(VALUE($C75), [1]SBOM!$F:$P, 11, FALSE)), 0), 2)-1.5, ROUND(IFERROR(IFERROR(VLOOKUP($C75, [1]SBOM!$F:$P, 11, FALSE),VLOOKUP(VALUE($C75), [1]SBOM!$F:$P, 11, FALSE)), 0), 2))&lt;0, 0, IF(RIGHT($A75,5)="FA160", ROUND(IFERROR(IFERROR(VLOOKUP($C75, [1]SBOM!$F:$P, 11, FALSE),VLOOKUP(VALUE($C75), [1]SBOM!$F:$P, 11, FALSE)), 0), 2)-1.5, ROUND(IFERROR(IFERROR(VLOOKUP($C75, [1]SBOM!$F:$P, 11, FALSE),VLOOKUP(VALUE($C75), [1]SBOM!$F:$P, 11, FALSE)), 0), 2)))</f>
        <v>6.5</v>
      </c>
    </row>
    <row r="76" spans="1:11">
      <c r="A76" t="s">
        <v>35</v>
      </c>
      <c r="B76">
        <f t="shared" si="1"/>
        <v>7</v>
      </c>
      <c r="C76" s="1" t="s">
        <v>42</v>
      </c>
      <c r="D76" t="str">
        <f>IFERROR(IFERROR(VLOOKUP($C76, [1]SBOM!$F:$G, 2, FALSE), VLOOKUP(VALUE($C76), [1]SBOM!$F:$G, 2, FALSE)), "")</f>
        <v xml:space="preserve">Scented Lava Pen Set- 5-pack </v>
      </c>
      <c r="E76">
        <v>4</v>
      </c>
      <c r="F76" s="2">
        <f>IF(IF(RIGHT($A76,5)="FA160", ROUND(IFERROR(IFERROR(VLOOKUP($C76, [1]SBOM!$F:$P, 11, FALSE),VLOOKUP(VALUE($C76), [1]SBOM!$F:$P, 11, FALSE)), 0), 2)-1.5, ROUND(IFERROR(IFERROR(VLOOKUP($C76, [1]SBOM!$F:$P, 11, FALSE),VLOOKUP(VALUE($C76), [1]SBOM!$F:$P, 11, FALSE)), 0), 2))&lt;0, 0, IF(RIGHT($A76,5)="FA160", ROUND(IFERROR(IFERROR(VLOOKUP($C76, [1]SBOM!$F:$P, 11, FALSE),VLOOKUP(VALUE($C76), [1]SBOM!$F:$P, 11, FALSE)), 0), 2)-1.5, ROUND(IFERROR(IFERROR(VLOOKUP($C76, [1]SBOM!$F:$P, 11, FALSE),VLOOKUP(VALUE($C76), [1]SBOM!$F:$P, 11, FALSE)), 0), 2)))</f>
        <v>10</v>
      </c>
    </row>
    <row r="77" spans="1:11">
      <c r="A77" t="s">
        <v>35</v>
      </c>
      <c r="B77">
        <f t="shared" si="1"/>
        <v>8</v>
      </c>
      <c r="C77" s="1" t="s">
        <v>44</v>
      </c>
      <c r="D77" t="str">
        <f>IFERROR(IFERROR(VLOOKUP($C77, [1]SBOM!$F:$G, 2, FALSE), VLOOKUP(VALUE($C77), [1]SBOM!$F:$G, 2, FALSE)), "")</f>
        <v xml:space="preserve">Scented Lava Pen Set - 2-pack (Pink / Purple) </v>
      </c>
      <c r="E77">
        <v>4</v>
      </c>
      <c r="F77" s="2">
        <f>IF(IF(RIGHT($A77,5)="FA160", ROUND(IFERROR(IFERROR(VLOOKUP($C77, [1]SBOM!$F:$P, 11, FALSE),VLOOKUP(VALUE($C77), [1]SBOM!$F:$P, 11, FALSE)), 0), 2)-1.5, ROUND(IFERROR(IFERROR(VLOOKUP($C77, [1]SBOM!$F:$P, 11, FALSE),VLOOKUP(VALUE($C77), [1]SBOM!$F:$P, 11, FALSE)), 0), 2))&lt;0, 0, IF(RIGHT($A77,5)="FA160", ROUND(IFERROR(IFERROR(VLOOKUP($C77, [1]SBOM!$F:$P, 11, FALSE),VLOOKUP(VALUE($C77), [1]SBOM!$F:$P, 11, FALSE)), 0), 2)-1.5, ROUND(IFERROR(IFERROR(VLOOKUP($C77, [1]SBOM!$F:$P, 11, FALSE),VLOOKUP(VALUE($C77), [1]SBOM!$F:$P, 11, FALSE)), 0), 2)))</f>
        <v>6.5</v>
      </c>
    </row>
    <row r="78" spans="1:11">
      <c r="A78" t="s">
        <v>35</v>
      </c>
      <c r="B78">
        <f t="shared" si="1"/>
        <v>9</v>
      </c>
      <c r="C78" s="1" t="s">
        <v>45</v>
      </c>
      <c r="D78" t="str">
        <f>IFERROR(IFERROR(VLOOKUP($C78, [1]SBOM!$F:$G, 2, FALSE), VLOOKUP(VALUE($C78), [1]SBOM!$F:$G, 2, FALSE)), "")</f>
        <v>Scented Marker 10 Colors</v>
      </c>
      <c r="E78">
        <v>4</v>
      </c>
      <c r="F78" s="2">
        <f>IF(IF(RIGHT($A78,5)="FA160", ROUND(IFERROR(IFERROR(VLOOKUP($C78, [1]SBOM!$F:$P, 11, FALSE),VLOOKUP(VALUE($C78), [1]SBOM!$F:$P, 11, FALSE)), 0), 2)-1.5, ROUND(IFERROR(IFERROR(VLOOKUP($C78, [1]SBOM!$F:$P, 11, FALSE),VLOOKUP(VALUE($C78), [1]SBOM!$F:$P, 11, FALSE)), 0), 2))&lt;0, 0, IF(RIGHT($A78,5)="FA160", ROUND(IFERROR(IFERROR(VLOOKUP($C78, [1]SBOM!$F:$P, 11, FALSE),VLOOKUP(VALUE($C78), [1]SBOM!$F:$P, 11, FALSE)), 0), 2)-1.5, ROUND(IFERROR(IFERROR(VLOOKUP($C78, [1]SBOM!$F:$P, 11, FALSE),VLOOKUP(VALUE($C78), [1]SBOM!$F:$P, 11, FALSE)), 0), 2)))</f>
        <v>6.5</v>
      </c>
    </row>
    <row r="79" spans="1:11">
      <c r="A79" t="s">
        <v>35</v>
      </c>
      <c r="B79">
        <f t="shared" si="1"/>
        <v>10</v>
      </c>
      <c r="C79" s="1" t="s">
        <v>32</v>
      </c>
      <c r="D79" t="str">
        <f>IFERROR(IFERROR(VLOOKUP($C79, [1]SBOM!$F:$G, 2, FALSE), VLOOKUP(VALUE($C79), [1]SBOM!$F:$G, 2, FALSE)), "")</f>
        <v>UNIVERSAL COUNTER DISPLAY - EMPTY</v>
      </c>
      <c r="E79">
        <v>1</v>
      </c>
      <c r="F79" s="2">
        <f>IF(IF(RIGHT($A79,5)="FA160", ROUND(IFERROR(IFERROR(VLOOKUP($C79, [1]SBOM!$F:$P, 11, FALSE),VLOOKUP(VALUE($C79), [1]SBOM!$F:$P, 11, FALSE)), 0), 2)-1.5, ROUND(IFERROR(IFERROR(VLOOKUP($C79, [1]SBOM!$F:$P, 11, FALSE),VLOOKUP(VALUE($C79), [1]SBOM!$F:$P, 11, FALSE)), 0), 2))&lt;0, 0, IF(RIGHT($A79,5)="FA160", ROUND(IFERROR(IFERROR(VLOOKUP($C79, [1]SBOM!$F:$P, 11, FALSE),VLOOKUP(VALUE($C79), [1]SBOM!$F:$P, 11, FALSE)), 0), 2)-1.5, ROUND(IFERROR(IFERROR(VLOOKUP($C79, [1]SBOM!$F:$P, 11, FALSE),VLOOKUP(VALUE($C79), [1]SBOM!$F:$P, 11, FALSE)), 0), 2)))</f>
        <v>0</v>
      </c>
    </row>
    <row r="80" spans="1:11">
      <c r="A80" t="s">
        <v>35</v>
      </c>
      <c r="B80">
        <f t="shared" si="1"/>
        <v>11</v>
      </c>
      <c r="C80" s="1" t="s">
        <v>63</v>
      </c>
      <c r="D80" t="str">
        <f>IFERROR(IFERROR(VLOOKUP($C80, [1]SBOM!$F:$G, 2, FALSE), VLOOKUP(VALUE($C80), [1]SBOM!$F:$G, 2, FALSE)), "")</f>
        <v>Scented Sparkle Pen, 5Pck</v>
      </c>
      <c r="E80">
        <v>8</v>
      </c>
      <c r="F80" s="2">
        <f>IF(IF(RIGHT($A80,5)="FA160", ROUND(IFERROR(IFERROR(VLOOKUP($C80, [1]SBOM!$F:$P, 11, FALSE),VLOOKUP(VALUE($C80), [1]SBOM!$F:$P, 11, FALSE)), 0), 2)-1.5, ROUND(IFERROR(IFERROR(VLOOKUP($C80, [1]SBOM!$F:$P, 11, FALSE),VLOOKUP(VALUE($C80), [1]SBOM!$F:$P, 11, FALSE)), 0), 2))&lt;0, 0, IF(RIGHT($A80,5)="FA160", ROUND(IFERROR(IFERROR(VLOOKUP($C80, [1]SBOM!$F:$P, 11, FALSE),VLOOKUP(VALUE($C80), [1]SBOM!$F:$P, 11, FALSE)), 0), 2)-1.5, ROUND(IFERROR(IFERROR(VLOOKUP($C80, [1]SBOM!$F:$P, 11, FALSE),VLOOKUP(VALUE($C80), [1]SBOM!$F:$P, 11, FALSE)), 0), 2)))</f>
        <v>10</v>
      </c>
    </row>
    <row r="81" spans="1:6">
      <c r="A81" t="s">
        <v>35</v>
      </c>
      <c r="B81">
        <f t="shared" si="1"/>
        <v>12</v>
      </c>
      <c r="C81" s="1" t="s">
        <v>64</v>
      </c>
      <c r="D81" t="str">
        <f>IFERROR(IFERROR(VLOOKUP($C81, [1]SBOM!$F:$G, 2, FALSE), VLOOKUP(VALUE($C81), [1]SBOM!$F:$G, 2, FALSE)), "")</f>
        <v>Scented Swirl Pen, 5Pck</v>
      </c>
      <c r="E81">
        <v>8</v>
      </c>
      <c r="F81" s="2">
        <f>IF(IF(RIGHT($A81,5)="FA160", ROUND(IFERROR(IFERROR(VLOOKUP($C81, [1]SBOM!$F:$P, 11, FALSE),VLOOKUP(VALUE($C81), [1]SBOM!$F:$P, 11, FALSE)), 0), 2)-1.5, ROUND(IFERROR(IFERROR(VLOOKUP($C81, [1]SBOM!$F:$P, 11, FALSE),VLOOKUP(VALUE($C81), [1]SBOM!$F:$P, 11, FALSE)), 0), 2))&lt;0, 0, IF(RIGHT($A81,5)="FA160", ROUND(IFERROR(IFERROR(VLOOKUP($C81, [1]SBOM!$F:$P, 11, FALSE),VLOOKUP(VALUE($C81), [1]SBOM!$F:$P, 11, FALSE)), 0), 2)-1.5, ROUND(IFERROR(IFERROR(VLOOKUP($C81, [1]SBOM!$F:$P, 11, FALSE),VLOOKUP(VALUE($C81), [1]SBOM!$F:$P, 11, FALSE)), 0), 2)))</f>
        <v>10</v>
      </c>
    </row>
    <row r="82" spans="1:6">
      <c r="A82" t="s">
        <v>35</v>
      </c>
      <c r="B82">
        <f t="shared" si="1"/>
        <v>13</v>
      </c>
      <c r="C82" s="1" t="s">
        <v>65</v>
      </c>
      <c r="D82" t="str">
        <f>IFERROR(IFERROR(VLOOKUP($C82, [1]SBOM!$F:$G, 2, FALSE), VLOOKUP(VALUE($C82), [1]SBOM!$F:$G, 2, FALSE)), "")</f>
        <v>Scented Stacking Highlighters - 2-pack</v>
      </c>
      <c r="E82">
        <v>4</v>
      </c>
      <c r="F82" s="2">
        <f>IF(IF(RIGHT($A82,5)="FA160", ROUND(IFERROR(IFERROR(VLOOKUP($C82, [1]SBOM!$F:$P, 11, FALSE),VLOOKUP(VALUE($C82), [1]SBOM!$F:$P, 11, FALSE)), 0), 2)-1.5, ROUND(IFERROR(IFERROR(VLOOKUP($C82, [1]SBOM!$F:$P, 11, FALSE),VLOOKUP(VALUE($C82), [1]SBOM!$F:$P, 11, FALSE)), 0), 2))&lt;0, 0, IF(RIGHT($A82,5)="FA160", ROUND(IFERROR(IFERROR(VLOOKUP($C82, [1]SBOM!$F:$P, 11, FALSE),VLOOKUP(VALUE($C82), [1]SBOM!$F:$P, 11, FALSE)), 0), 2)-1.5, ROUND(IFERROR(IFERROR(VLOOKUP($C82, [1]SBOM!$F:$P, 11, FALSE),VLOOKUP(VALUE($C82), [1]SBOM!$F:$P, 11, FALSE)), 0), 2)))</f>
        <v>6.5</v>
      </c>
    </row>
    <row r="83" spans="1:6">
      <c r="A83" t="s">
        <v>33</v>
      </c>
      <c r="B83">
        <f t="shared" si="1"/>
        <v>1</v>
      </c>
      <c r="C83" s="1" t="s">
        <v>34</v>
      </c>
      <c r="D83" t="str">
        <f>IFERROR(IFERROR(VLOOKUP($C83, [1]SBOM!$F:$G, 2, FALSE), VLOOKUP(VALUE($C83), [1]SBOM!$F:$G, 2, FALSE)), "")</f>
        <v>FlowArt - Spinner Tower - Empty</v>
      </c>
      <c r="E83">
        <v>1</v>
      </c>
      <c r="F83" s="2">
        <f>IF(IF(RIGHT($A83,5)="FA160", ROUND(IFERROR(IFERROR(VLOOKUP($C83, [1]SBOM!$F:$P, 11, FALSE),VLOOKUP(VALUE($C83), [1]SBOM!$F:$P, 11, FALSE)), 0), 2)-1.5, ROUND(IFERROR(IFERROR(VLOOKUP($C83, [1]SBOM!$F:$P, 11, FALSE),VLOOKUP(VALUE($C83), [1]SBOM!$F:$P, 11, FALSE)), 0), 2))&lt;0, 0, IF(RIGHT($A83,5)="FA160", ROUND(IFERROR(IFERROR(VLOOKUP($C83, [1]SBOM!$F:$P, 11, FALSE),VLOOKUP(VALUE($C83), [1]SBOM!$F:$P, 11, FALSE)), 0), 2)-1.5, ROUND(IFERROR(IFERROR(VLOOKUP($C83, [1]SBOM!$F:$P, 11, FALSE),VLOOKUP(VALUE($C83), [1]SBOM!$F:$P, 11, FALSE)), 0), 2)))</f>
        <v>0</v>
      </c>
    </row>
    <row r="84" spans="1:6">
      <c r="A84" t="s">
        <v>33</v>
      </c>
      <c r="B84">
        <f t="shared" si="1"/>
        <v>2</v>
      </c>
      <c r="C84" s="1" t="s">
        <v>29</v>
      </c>
      <c r="D84" t="str">
        <f>IFERROR(IFERROR(VLOOKUP($C84, [1]SBOM!$F:$G, 2, FALSE), VLOOKUP(VALUE($C84), [1]SBOM!$F:$G, 2, FALSE)), "")</f>
        <v>FlowArt: Dot-By-Letter, Into the Galaxy [Metallic ink]</v>
      </c>
      <c r="E84">
        <v>8</v>
      </c>
      <c r="F84" s="2">
        <f>IF(IF(RIGHT($A84,5)="FA160", ROUND(IFERROR(IFERROR(VLOOKUP($C84, [1]SBOM!$F:$P, 11, FALSE),VLOOKUP(VALUE($C84), [1]SBOM!$F:$P, 11, FALSE)), 0), 2)-1.5, ROUND(IFERROR(IFERROR(VLOOKUP($C84, [1]SBOM!$F:$P, 11, FALSE),VLOOKUP(VALUE($C84), [1]SBOM!$F:$P, 11, FALSE)), 0), 2))&lt;0, 0, IF(RIGHT($A84,5)="FA160", ROUND(IFERROR(IFERROR(VLOOKUP($C84, [1]SBOM!$F:$P, 11, FALSE),VLOOKUP(VALUE($C84), [1]SBOM!$F:$P, 11, FALSE)), 0), 2)-1.5, ROUND(IFERROR(IFERROR(VLOOKUP($C84, [1]SBOM!$F:$P, 11, FALSE),VLOOKUP(VALUE($C84), [1]SBOM!$F:$P, 11, FALSE)), 0), 2)))</f>
        <v>6.5</v>
      </c>
    </row>
    <row r="85" spans="1:6">
      <c r="A85" t="s">
        <v>33</v>
      </c>
      <c r="B85">
        <f t="shared" si="1"/>
        <v>3</v>
      </c>
      <c r="C85" s="1" t="s">
        <v>16</v>
      </c>
      <c r="D85" t="str">
        <f>IFERROR(IFERROR(VLOOKUP($C85, [1]SBOM!$F:$G, 2, FALSE), VLOOKUP(VALUE($C85), [1]SBOM!$F:$G, 2, FALSE)), "")</f>
        <v>FlowArt: Dot-By-Letter, Cozy Cottage</v>
      </c>
      <c r="E85">
        <v>8</v>
      </c>
      <c r="F85" s="2">
        <f>IF(IF(RIGHT($A85,5)="FA160", ROUND(IFERROR(IFERROR(VLOOKUP($C85, [1]SBOM!$F:$P, 11, FALSE),VLOOKUP(VALUE($C85), [1]SBOM!$F:$P, 11, FALSE)), 0), 2)-1.5, ROUND(IFERROR(IFERROR(VLOOKUP($C85, [1]SBOM!$F:$P, 11, FALSE),VLOOKUP(VALUE($C85), [1]SBOM!$F:$P, 11, FALSE)), 0), 2))&lt;0, 0, IF(RIGHT($A85,5)="FA160", ROUND(IFERROR(IFERROR(VLOOKUP($C85, [1]SBOM!$F:$P, 11, FALSE),VLOOKUP(VALUE($C85), [1]SBOM!$F:$P, 11, FALSE)), 0), 2)-1.5, ROUND(IFERROR(IFERROR(VLOOKUP($C85, [1]SBOM!$F:$P, 11, FALSE),VLOOKUP(VALUE($C85), [1]SBOM!$F:$P, 11, FALSE)), 0), 2)))</f>
        <v>6.5</v>
      </c>
    </row>
    <row r="86" spans="1:6">
      <c r="A86" t="s">
        <v>33</v>
      </c>
      <c r="B86">
        <f t="shared" si="1"/>
        <v>4</v>
      </c>
      <c r="C86" s="1" t="s">
        <v>30</v>
      </c>
      <c r="D86" t="str">
        <f>IFERROR(IFERROR(VLOOKUP($C86, [1]SBOM!$F:$G, 2, FALSE), VLOOKUP(VALUE($C86), [1]SBOM!$F:$G, 2, FALSE)), "")</f>
        <v>FlowArt: Dot-By-Letter, Into the Deep [Metallic ink]</v>
      </c>
      <c r="E86">
        <v>8</v>
      </c>
      <c r="F86" s="2">
        <f>IF(IF(RIGHT($A86,5)="FA160", ROUND(IFERROR(IFERROR(VLOOKUP($C86, [1]SBOM!$F:$P, 11, FALSE),VLOOKUP(VALUE($C86), [1]SBOM!$F:$P, 11, FALSE)), 0), 2)-1.5, ROUND(IFERROR(IFERROR(VLOOKUP($C86, [1]SBOM!$F:$P, 11, FALSE),VLOOKUP(VALUE($C86), [1]SBOM!$F:$P, 11, FALSE)), 0), 2))&lt;0, 0, IF(RIGHT($A86,5)="FA160", ROUND(IFERROR(IFERROR(VLOOKUP($C86, [1]SBOM!$F:$P, 11, FALSE),VLOOKUP(VALUE($C86), [1]SBOM!$F:$P, 11, FALSE)), 0), 2)-1.5, ROUND(IFERROR(IFERROR(VLOOKUP($C86, [1]SBOM!$F:$P, 11, FALSE),VLOOKUP(VALUE($C86), [1]SBOM!$F:$P, 11, FALSE)), 0), 2)))</f>
        <v>6.5</v>
      </c>
    </row>
    <row r="87" spans="1:6">
      <c r="A87" t="s">
        <v>33</v>
      </c>
      <c r="B87">
        <f t="shared" si="1"/>
        <v>5</v>
      </c>
      <c r="C87" s="1" t="s">
        <v>31</v>
      </c>
      <c r="D87" t="str">
        <f>IFERROR(IFERROR(VLOOKUP($C87, [1]SBOM!$F:$G, 2, FALSE), VLOOKUP(VALUE($C87), [1]SBOM!$F:$G, 2, FALSE)), "")</f>
        <v>FlowArt: Trace-By-Groove, Jungle Oasis</v>
      </c>
      <c r="E87">
        <v>4</v>
      </c>
      <c r="F87" s="2">
        <f>IF(IF(RIGHT($A87,5)="FA160", ROUND(IFERROR(IFERROR(VLOOKUP($C87, [1]SBOM!$F:$P, 11, FALSE),VLOOKUP(VALUE($C87), [1]SBOM!$F:$P, 11, FALSE)), 0), 2)-1.5, ROUND(IFERROR(IFERROR(VLOOKUP($C87, [1]SBOM!$F:$P, 11, FALSE),VLOOKUP(VALUE($C87), [1]SBOM!$F:$P, 11, FALSE)), 0), 2))&lt;0, 0, IF(RIGHT($A87,5)="FA160", ROUND(IFERROR(IFERROR(VLOOKUP($C87, [1]SBOM!$F:$P, 11, FALSE),VLOOKUP(VALUE($C87), [1]SBOM!$F:$P, 11, FALSE)), 0), 2)-1.5, ROUND(IFERROR(IFERROR(VLOOKUP($C87, [1]SBOM!$F:$P, 11, FALSE),VLOOKUP(VALUE($C87), [1]SBOM!$F:$P, 11, FALSE)), 0), 2)))</f>
        <v>6.5</v>
      </c>
    </row>
    <row r="88" spans="1:6">
      <c r="A88" t="s">
        <v>33</v>
      </c>
      <c r="B88">
        <f t="shared" si="1"/>
        <v>6</v>
      </c>
      <c r="C88" s="1" t="s">
        <v>49</v>
      </c>
      <c r="D88" t="str">
        <f>IFERROR(IFERROR(VLOOKUP($C88, [1]SBOM!$F:$G, 2, FALSE), VLOOKUP(VALUE($C88), [1]SBOM!$F:$G, 2, FALSE)), "")</f>
        <v>FlowArt: Dot-By-Letter, Wags &amp; Whiskers</v>
      </c>
      <c r="E88">
        <v>8</v>
      </c>
      <c r="F88" s="2">
        <f>IF(IF(RIGHT($A88,5)="FA160", ROUND(IFERROR(IFERROR(VLOOKUP($C88, [1]SBOM!$F:$P, 11, FALSE),VLOOKUP(VALUE($C88), [1]SBOM!$F:$P, 11, FALSE)), 0), 2)-1.5, ROUND(IFERROR(IFERROR(VLOOKUP($C88, [1]SBOM!$F:$P, 11, FALSE),VLOOKUP(VALUE($C88), [1]SBOM!$F:$P, 11, FALSE)), 0), 2))&lt;0, 0, IF(RIGHT($A88,5)="FA160", ROUND(IFERROR(IFERROR(VLOOKUP($C88, [1]SBOM!$F:$P, 11, FALSE),VLOOKUP(VALUE($C88), [1]SBOM!$F:$P, 11, FALSE)), 0), 2)-1.5, ROUND(IFERROR(IFERROR(VLOOKUP($C88, [1]SBOM!$F:$P, 11, FALSE),VLOOKUP(VALUE($C88), [1]SBOM!$F:$P, 11, FALSE)), 0), 2)))</f>
        <v>6.5</v>
      </c>
    </row>
    <row r="89" spans="1:6">
      <c r="A89" t="s">
        <v>33</v>
      </c>
      <c r="B89">
        <f t="shared" si="1"/>
        <v>7</v>
      </c>
      <c r="C89" s="1" t="s">
        <v>52</v>
      </c>
      <c r="D89" t="str">
        <f>IFERROR(IFERROR(VLOOKUP($C89, [1]SBOM!$F:$G, 2, FALSE), VLOOKUP(VALUE($C89), [1]SBOM!$F:$G, 2, FALSE)), "")</f>
        <v>FlowArt: Trace-By-Line, Brunch in Bloom</v>
      </c>
      <c r="E89">
        <v>8</v>
      </c>
      <c r="F89" s="2">
        <f>IF(IF(RIGHT($A89,5)="FA160", ROUND(IFERROR(IFERROR(VLOOKUP($C89, [1]SBOM!$F:$P, 11, FALSE),VLOOKUP(VALUE($C89), [1]SBOM!$F:$P, 11, FALSE)), 0), 2)-1.5, ROUND(IFERROR(IFERROR(VLOOKUP($C89, [1]SBOM!$F:$P, 11, FALSE),VLOOKUP(VALUE($C89), [1]SBOM!$F:$P, 11, FALSE)), 0), 2))&lt;0, 0, IF(RIGHT($A89,5)="FA160", ROUND(IFERROR(IFERROR(VLOOKUP($C89, [1]SBOM!$F:$P, 11, FALSE),VLOOKUP(VALUE($C89), [1]SBOM!$F:$P, 11, FALSE)), 0), 2)-1.5, ROUND(IFERROR(IFERROR(VLOOKUP($C89, [1]SBOM!$F:$P, 11, FALSE),VLOOKUP(VALUE($C89), [1]SBOM!$F:$P, 11, FALSE)), 0), 2)))</f>
        <v>6.5</v>
      </c>
    </row>
    <row r="90" spans="1:6">
      <c r="A90" t="s">
        <v>33</v>
      </c>
      <c r="B90">
        <f t="shared" si="1"/>
        <v>8</v>
      </c>
      <c r="C90" s="1" t="s">
        <v>20</v>
      </c>
      <c r="D90" t="str">
        <f>IFERROR(IFERROR(VLOOKUP($C90, [1]SBOM!$F:$G, 2, FALSE), VLOOKUP(VALUE($C90), [1]SBOM!$F:$G, 2, FALSE)), "")</f>
        <v>FlowArt: Dot-By-Letter, Day at the Beach</v>
      </c>
      <c r="E90">
        <v>8</v>
      </c>
      <c r="F90" s="2">
        <f>IF(IF(RIGHT($A90,5)="FA160", ROUND(IFERROR(IFERROR(VLOOKUP($C90, [1]SBOM!$F:$P, 11, FALSE),VLOOKUP(VALUE($C90), [1]SBOM!$F:$P, 11, FALSE)), 0), 2)-1.5, ROUND(IFERROR(IFERROR(VLOOKUP($C90, [1]SBOM!$F:$P, 11, FALSE),VLOOKUP(VALUE($C90), [1]SBOM!$F:$P, 11, FALSE)), 0), 2))&lt;0, 0, IF(RIGHT($A90,5)="FA160", ROUND(IFERROR(IFERROR(VLOOKUP($C90, [1]SBOM!$F:$P, 11, FALSE),VLOOKUP(VALUE($C90), [1]SBOM!$F:$P, 11, FALSE)), 0), 2)-1.5, ROUND(IFERROR(IFERROR(VLOOKUP($C90, [1]SBOM!$F:$P, 11, FALSE),VLOOKUP(VALUE($C90), [1]SBOM!$F:$P, 11, FALSE)), 0), 2)))</f>
        <v>6.5</v>
      </c>
    </row>
    <row r="91" spans="1:6">
      <c r="A91" t="s">
        <v>33</v>
      </c>
      <c r="B91">
        <f t="shared" si="1"/>
        <v>9</v>
      </c>
      <c r="C91" s="1" t="s">
        <v>19</v>
      </c>
      <c r="D91" t="str">
        <f>IFERROR(IFERROR(VLOOKUP($C91, [1]SBOM!$F:$G, 2, FALSE), VLOOKUP(VALUE($C91), [1]SBOM!$F:$G, 2, FALSE)), "")</f>
        <v>FlowArt: Trace-By-Line, Tropical Paradise</v>
      </c>
      <c r="E91">
        <v>8</v>
      </c>
      <c r="F91" s="2">
        <f>IF(IF(RIGHT($A91,5)="FA160", ROUND(IFERROR(IFERROR(VLOOKUP($C91, [1]SBOM!$F:$P, 11, FALSE),VLOOKUP(VALUE($C91), [1]SBOM!$F:$P, 11, FALSE)), 0), 2)-1.5, ROUND(IFERROR(IFERROR(VLOOKUP($C91, [1]SBOM!$F:$P, 11, FALSE),VLOOKUP(VALUE($C91), [1]SBOM!$F:$P, 11, FALSE)), 0), 2))&lt;0, 0, IF(RIGHT($A91,5)="FA160", ROUND(IFERROR(IFERROR(VLOOKUP($C91, [1]SBOM!$F:$P, 11, FALSE),VLOOKUP(VALUE($C91), [1]SBOM!$F:$P, 11, FALSE)), 0), 2)-1.5, ROUND(IFERROR(IFERROR(VLOOKUP($C91, [1]SBOM!$F:$P, 11, FALSE),VLOOKUP(VALUE($C91), [1]SBOM!$F:$P, 11, FALSE)), 0), 2)))</f>
        <v>6.5</v>
      </c>
    </row>
    <row r="92" spans="1:6">
      <c r="A92" t="s">
        <v>33</v>
      </c>
      <c r="B92">
        <f t="shared" si="1"/>
        <v>10</v>
      </c>
      <c r="C92" s="1" t="s">
        <v>68</v>
      </c>
      <c r="D92" t="str">
        <f>IFERROR(IFERROR(VLOOKUP($C92, [1]SBOM!$F:$G, 2, FALSE), VLOOKUP(VALUE($C92), [1]SBOM!$F:$G, 2, FALSE)), "")</f>
        <v>FlowArt: Dot-By-Letter, Majestic Earth [Metallic ink]</v>
      </c>
      <c r="E92">
        <v>4</v>
      </c>
      <c r="F92" s="2">
        <f>IF(IF(RIGHT($A92,5)="FA160", ROUND(IFERROR(IFERROR(VLOOKUP($C92, [1]SBOM!$F:$P, 11, FALSE),VLOOKUP(VALUE($C92), [1]SBOM!$F:$P, 11, FALSE)), 0), 2)-1.5, ROUND(IFERROR(IFERROR(VLOOKUP($C92, [1]SBOM!$F:$P, 11, FALSE),VLOOKUP(VALUE($C92), [1]SBOM!$F:$P, 11, FALSE)), 0), 2))&lt;0, 0, IF(RIGHT($A92,5)="FA160", ROUND(IFERROR(IFERROR(VLOOKUP($C92, [1]SBOM!$F:$P, 11, FALSE),VLOOKUP(VALUE($C92), [1]SBOM!$F:$P, 11, FALSE)), 0), 2)-1.5, ROUND(IFERROR(IFERROR(VLOOKUP($C92, [1]SBOM!$F:$P, 11, FALSE),VLOOKUP(VALUE($C92), [1]SBOM!$F:$P, 11, FALSE)), 0), 2)))</f>
        <v>6.5</v>
      </c>
    </row>
    <row r="93" spans="1:6">
      <c r="A93" t="s">
        <v>33</v>
      </c>
      <c r="B93">
        <f t="shared" si="1"/>
        <v>11</v>
      </c>
      <c r="C93" s="1" t="s">
        <v>26</v>
      </c>
      <c r="D93" t="str">
        <f>IFERROR(IFERROR(VLOOKUP($C93, [1]SBOM!$F:$G, 2, FALSE), VLOOKUP(VALUE($C93), [1]SBOM!$F:$G, 2, FALSE)), "")</f>
        <v>FlowArt: Dot-By-Letter, Snowed In</v>
      </c>
      <c r="E93">
        <v>8</v>
      </c>
      <c r="F93" s="2">
        <f>IF(IF(RIGHT($A93,5)="FA160", ROUND(IFERROR(IFERROR(VLOOKUP($C93, [1]SBOM!$F:$P, 11, FALSE),VLOOKUP(VALUE($C93), [1]SBOM!$F:$P, 11, FALSE)), 0), 2)-1.5, ROUND(IFERROR(IFERROR(VLOOKUP($C93, [1]SBOM!$F:$P, 11, FALSE),VLOOKUP(VALUE($C93), [1]SBOM!$F:$P, 11, FALSE)), 0), 2))&lt;0, 0, IF(RIGHT($A93,5)="FA160", ROUND(IFERROR(IFERROR(VLOOKUP($C93, [1]SBOM!$F:$P, 11, FALSE),VLOOKUP(VALUE($C93), [1]SBOM!$F:$P, 11, FALSE)), 0), 2)-1.5, ROUND(IFERROR(IFERROR(VLOOKUP($C93, [1]SBOM!$F:$P, 11, FALSE),VLOOKUP(VALUE($C93), [1]SBOM!$F:$P, 11, FALSE)), 0), 2)))</f>
        <v>6.5</v>
      </c>
    </row>
    <row r="94" spans="1:6">
      <c r="A94" t="s">
        <v>33</v>
      </c>
      <c r="B94">
        <f t="shared" si="1"/>
        <v>12</v>
      </c>
      <c r="C94" s="1" t="s">
        <v>80</v>
      </c>
      <c r="D94" t="str">
        <f>IFERROR(IFERROR(VLOOKUP($C94, [1]SBOM!$F:$G, 2, FALSE), VLOOKUP(VALUE($C94), [1]SBOM!$F:$G, 2, FALSE)), "")</f>
        <v>FlowArt: Dot-By-Letter, The North Pole</v>
      </c>
      <c r="E94">
        <v>4</v>
      </c>
      <c r="F94" s="2">
        <f>IF(IF(RIGHT($A94,5)="FA160", ROUND(IFERROR(IFERROR(VLOOKUP($C94, [1]SBOM!$F:$P, 11, FALSE),VLOOKUP(VALUE($C94), [1]SBOM!$F:$P, 11, FALSE)), 0), 2)-1.5, ROUND(IFERROR(IFERROR(VLOOKUP($C94, [1]SBOM!$F:$P, 11, FALSE),VLOOKUP(VALUE($C94), [1]SBOM!$F:$P, 11, FALSE)), 0), 2))&lt;0, 0, IF(RIGHT($A94,5)="FA160", ROUND(IFERROR(IFERROR(VLOOKUP($C94, [1]SBOM!$F:$P, 11, FALSE),VLOOKUP(VALUE($C94), [1]SBOM!$F:$P, 11, FALSE)), 0), 2)-1.5, ROUND(IFERROR(IFERROR(VLOOKUP($C94, [1]SBOM!$F:$P, 11, FALSE),VLOOKUP(VALUE($C94), [1]SBOM!$F:$P, 11, FALSE)), 0), 2)))</f>
        <v>6.5</v>
      </c>
    </row>
    <row r="95" spans="1:6">
      <c r="A95" t="s">
        <v>33</v>
      </c>
      <c r="B95">
        <f t="shared" si="1"/>
        <v>13</v>
      </c>
      <c r="C95" s="1" t="s">
        <v>27</v>
      </c>
      <c r="D95" t="str">
        <f>IFERROR(IFERROR(VLOOKUP($C95, [1]SBOM!$F:$G, 2, FALSE), VLOOKUP(VALUE($C95), [1]SBOM!$F:$G, 2, FALSE)), "")</f>
        <v>FlowArt: Dot-By-Letter, Winter's Glow [Metallic ink]</v>
      </c>
      <c r="E95">
        <v>4</v>
      </c>
      <c r="F95" s="2">
        <f>IF(IF(RIGHT($A95,5)="FA160", ROUND(IFERROR(IFERROR(VLOOKUP($C95, [1]SBOM!$F:$P, 11, FALSE),VLOOKUP(VALUE($C95), [1]SBOM!$F:$P, 11, FALSE)), 0), 2)-1.5, ROUND(IFERROR(IFERROR(VLOOKUP($C95, [1]SBOM!$F:$P, 11, FALSE),VLOOKUP(VALUE($C95), [1]SBOM!$F:$P, 11, FALSE)), 0), 2))&lt;0, 0, IF(RIGHT($A95,5)="FA160", ROUND(IFERROR(IFERROR(VLOOKUP($C95, [1]SBOM!$F:$P, 11, FALSE),VLOOKUP(VALUE($C95), [1]SBOM!$F:$P, 11, FALSE)), 0), 2)-1.5, ROUND(IFERROR(IFERROR(VLOOKUP($C95, [1]SBOM!$F:$P, 11, FALSE),VLOOKUP(VALUE($C95), [1]SBOM!$F:$P, 11, FALSE)), 0), 2)))</f>
        <v>6.5</v>
      </c>
    </row>
    <row r="96" spans="1:6">
      <c r="A96" t="s">
        <v>53</v>
      </c>
      <c r="B96">
        <f t="shared" si="1"/>
        <v>1</v>
      </c>
      <c r="C96" s="1" t="s">
        <v>29</v>
      </c>
      <c r="D96" t="str">
        <f>IFERROR(IFERROR(VLOOKUP($C96, [1]SBOM!$F:$G, 2, FALSE), VLOOKUP(VALUE($C96), [1]SBOM!$F:$G, 2, FALSE)), "")</f>
        <v>FlowArt: Dot-By-Letter, Into the Galaxy [Metallic ink]</v>
      </c>
      <c r="E96">
        <v>8</v>
      </c>
      <c r="F96" s="2">
        <f>IF(IF(RIGHT($A96,5)="FA160", ROUND(IFERROR(IFERROR(VLOOKUP($C96, [1]SBOM!$F:$P, 11, FALSE),VLOOKUP(VALUE($C96), [1]SBOM!$F:$P, 11, FALSE)), 0), 2)-1.5, ROUND(IFERROR(IFERROR(VLOOKUP($C96, [1]SBOM!$F:$P, 11, FALSE),VLOOKUP(VALUE($C96), [1]SBOM!$F:$P, 11, FALSE)), 0), 2))&lt;0, 0, IF(RIGHT($A96,5)="FA160", ROUND(IFERROR(IFERROR(VLOOKUP($C96, [1]SBOM!$F:$P, 11, FALSE),VLOOKUP(VALUE($C96), [1]SBOM!$F:$P, 11, FALSE)), 0), 2)-1.5, ROUND(IFERROR(IFERROR(VLOOKUP($C96, [1]SBOM!$F:$P, 11, FALSE),VLOOKUP(VALUE($C96), [1]SBOM!$F:$P, 11, FALSE)), 0), 2)))</f>
        <v>6.5</v>
      </c>
    </row>
    <row r="97" spans="1:6">
      <c r="A97" t="s">
        <v>53</v>
      </c>
      <c r="B97">
        <f t="shared" si="1"/>
        <v>2</v>
      </c>
      <c r="C97" s="1" t="s">
        <v>30</v>
      </c>
      <c r="D97" t="str">
        <f>IFERROR(IFERROR(VLOOKUP($C97, [1]SBOM!$F:$G, 2, FALSE), VLOOKUP(VALUE($C97), [1]SBOM!$F:$G, 2, FALSE)), "")</f>
        <v>FlowArt: Dot-By-Letter, Into the Deep [Metallic ink]</v>
      </c>
      <c r="E97">
        <v>8</v>
      </c>
      <c r="F97" s="2">
        <f>IF(IF(RIGHT($A97,5)="FA160", ROUND(IFERROR(IFERROR(VLOOKUP($C97, [1]SBOM!$F:$P, 11, FALSE),VLOOKUP(VALUE($C97), [1]SBOM!$F:$P, 11, FALSE)), 0), 2)-1.5, ROUND(IFERROR(IFERROR(VLOOKUP($C97, [1]SBOM!$F:$P, 11, FALSE),VLOOKUP(VALUE($C97), [1]SBOM!$F:$P, 11, FALSE)), 0), 2))&lt;0, 0, IF(RIGHT($A97,5)="FA160", ROUND(IFERROR(IFERROR(VLOOKUP($C97, [1]SBOM!$F:$P, 11, FALSE),VLOOKUP(VALUE($C97), [1]SBOM!$F:$P, 11, FALSE)), 0), 2)-1.5, ROUND(IFERROR(IFERROR(VLOOKUP($C97, [1]SBOM!$F:$P, 11, FALSE),VLOOKUP(VALUE($C97), [1]SBOM!$F:$P, 11, FALSE)), 0), 2)))</f>
        <v>6.5</v>
      </c>
    </row>
    <row r="98" spans="1:6">
      <c r="A98" t="s">
        <v>53</v>
      </c>
      <c r="B98">
        <f t="shared" si="1"/>
        <v>3</v>
      </c>
      <c r="C98" s="1" t="s">
        <v>16</v>
      </c>
      <c r="D98" t="str">
        <f>IFERROR(IFERROR(VLOOKUP($C98, [1]SBOM!$F:$G, 2, FALSE), VLOOKUP(VALUE($C98), [1]SBOM!$F:$G, 2, FALSE)), "")</f>
        <v>FlowArt: Dot-By-Letter, Cozy Cottage</v>
      </c>
      <c r="E98">
        <v>4</v>
      </c>
      <c r="F98" s="2">
        <f>IF(IF(RIGHT($A98,5)="FA160", ROUND(IFERROR(IFERROR(VLOOKUP($C98, [1]SBOM!$F:$P, 11, FALSE),VLOOKUP(VALUE($C98), [1]SBOM!$F:$P, 11, FALSE)), 0), 2)-1.5, ROUND(IFERROR(IFERROR(VLOOKUP($C98, [1]SBOM!$F:$P, 11, FALSE),VLOOKUP(VALUE($C98), [1]SBOM!$F:$P, 11, FALSE)), 0), 2))&lt;0, 0, IF(RIGHT($A98,5)="FA160", ROUND(IFERROR(IFERROR(VLOOKUP($C98, [1]SBOM!$F:$P, 11, FALSE),VLOOKUP(VALUE($C98), [1]SBOM!$F:$P, 11, FALSE)), 0), 2)-1.5, ROUND(IFERROR(IFERROR(VLOOKUP($C98, [1]SBOM!$F:$P, 11, FALSE),VLOOKUP(VALUE($C98), [1]SBOM!$F:$P, 11, FALSE)), 0), 2)))</f>
        <v>6.5</v>
      </c>
    </row>
    <row r="99" spans="1:6">
      <c r="A99" t="s">
        <v>53</v>
      </c>
      <c r="B99">
        <f t="shared" si="1"/>
        <v>4</v>
      </c>
      <c r="C99" s="1" t="s">
        <v>31</v>
      </c>
      <c r="D99" t="str">
        <f>IFERROR(IFERROR(VLOOKUP($C99, [1]SBOM!$F:$G, 2, FALSE), VLOOKUP(VALUE($C99), [1]SBOM!$F:$G, 2, FALSE)), "")</f>
        <v>FlowArt: Trace-By-Groove, Jungle Oasis</v>
      </c>
      <c r="E99">
        <v>4</v>
      </c>
      <c r="F99" s="2">
        <f>IF(IF(RIGHT($A99,5)="FA160", ROUND(IFERROR(IFERROR(VLOOKUP($C99, [1]SBOM!$F:$P, 11, FALSE),VLOOKUP(VALUE($C99), [1]SBOM!$F:$P, 11, FALSE)), 0), 2)-1.5, ROUND(IFERROR(IFERROR(VLOOKUP($C99, [1]SBOM!$F:$P, 11, FALSE),VLOOKUP(VALUE($C99), [1]SBOM!$F:$P, 11, FALSE)), 0), 2))&lt;0, 0, IF(RIGHT($A99,5)="FA160", ROUND(IFERROR(IFERROR(VLOOKUP($C99, [1]SBOM!$F:$P, 11, FALSE),VLOOKUP(VALUE($C99), [1]SBOM!$F:$P, 11, FALSE)), 0), 2)-1.5, ROUND(IFERROR(IFERROR(VLOOKUP($C99, [1]SBOM!$F:$P, 11, FALSE),VLOOKUP(VALUE($C99), [1]SBOM!$F:$P, 11, FALSE)), 0), 2)))</f>
        <v>6.5</v>
      </c>
    </row>
    <row r="100" spans="1:6">
      <c r="A100" t="s">
        <v>53</v>
      </c>
      <c r="B100">
        <f t="shared" si="1"/>
        <v>5</v>
      </c>
      <c r="C100" s="1" t="s">
        <v>20</v>
      </c>
      <c r="D100" t="str">
        <f>IFERROR(IFERROR(VLOOKUP($C100, [1]SBOM!$F:$G, 2, FALSE), VLOOKUP(VALUE($C100), [1]SBOM!$F:$G, 2, FALSE)), "")</f>
        <v>FlowArt: Dot-By-Letter, Day at the Beach</v>
      </c>
      <c r="E100">
        <v>8</v>
      </c>
      <c r="F100" s="2">
        <f>IF(IF(RIGHT($A100,5)="FA160", ROUND(IFERROR(IFERROR(VLOOKUP($C100, [1]SBOM!$F:$P, 11, FALSE),VLOOKUP(VALUE($C100), [1]SBOM!$F:$P, 11, FALSE)), 0), 2)-1.5, ROUND(IFERROR(IFERROR(VLOOKUP($C100, [1]SBOM!$F:$P, 11, FALSE),VLOOKUP(VALUE($C100), [1]SBOM!$F:$P, 11, FALSE)), 0), 2))&lt;0, 0, IF(RIGHT($A100,5)="FA160", ROUND(IFERROR(IFERROR(VLOOKUP($C100, [1]SBOM!$F:$P, 11, FALSE),VLOOKUP(VALUE($C100), [1]SBOM!$F:$P, 11, FALSE)), 0), 2)-1.5, ROUND(IFERROR(IFERROR(VLOOKUP($C100, [1]SBOM!$F:$P, 11, FALSE),VLOOKUP(VALUE($C100), [1]SBOM!$F:$P, 11, FALSE)), 0), 2)))</f>
        <v>6.5</v>
      </c>
    </row>
    <row r="101" spans="1:6">
      <c r="A101" t="s">
        <v>53</v>
      </c>
      <c r="B101">
        <f t="shared" si="1"/>
        <v>6</v>
      </c>
      <c r="C101" s="1" t="s">
        <v>49</v>
      </c>
      <c r="D101" t="str">
        <f>IFERROR(IFERROR(VLOOKUP($C101, [1]SBOM!$F:$G, 2, FALSE), VLOOKUP(VALUE($C101), [1]SBOM!$F:$G, 2, FALSE)), "")</f>
        <v>FlowArt: Dot-By-Letter, Wags &amp; Whiskers</v>
      </c>
      <c r="E101">
        <v>8</v>
      </c>
      <c r="F101" s="2">
        <f>IF(IF(RIGHT($A101,5)="FA160", ROUND(IFERROR(IFERROR(VLOOKUP($C101, [1]SBOM!$F:$P, 11, FALSE),VLOOKUP(VALUE($C101), [1]SBOM!$F:$P, 11, FALSE)), 0), 2)-1.5, ROUND(IFERROR(IFERROR(VLOOKUP($C101, [1]SBOM!$F:$P, 11, FALSE),VLOOKUP(VALUE($C101), [1]SBOM!$F:$P, 11, FALSE)), 0), 2))&lt;0, 0, IF(RIGHT($A101,5)="FA160", ROUND(IFERROR(IFERROR(VLOOKUP($C101, [1]SBOM!$F:$P, 11, FALSE),VLOOKUP(VALUE($C101), [1]SBOM!$F:$P, 11, FALSE)), 0), 2)-1.5, ROUND(IFERROR(IFERROR(VLOOKUP($C101, [1]SBOM!$F:$P, 11, FALSE),VLOOKUP(VALUE($C101), [1]SBOM!$F:$P, 11, FALSE)), 0), 2)))</f>
        <v>6.5</v>
      </c>
    </row>
    <row r="102" spans="1:6">
      <c r="A102" t="s">
        <v>53</v>
      </c>
      <c r="B102">
        <f t="shared" si="1"/>
        <v>7</v>
      </c>
      <c r="C102" s="1" t="s">
        <v>51</v>
      </c>
      <c r="D102" t="str">
        <f>IFERROR(IFERROR(VLOOKUP($C102, [1]SBOM!$F:$G, 2, FALSE), VLOOKUP(VALUE($C102), [1]SBOM!$F:$G, 2, FALSE)), "")</f>
        <v>FlowArt: Color-to-Reveal, Citrus Coastlines</v>
      </c>
      <c r="E102">
        <v>4</v>
      </c>
      <c r="F102" s="2">
        <f>IF(IF(RIGHT($A102,5)="FA160", ROUND(IFERROR(IFERROR(VLOOKUP($C102, [1]SBOM!$F:$P, 11, FALSE),VLOOKUP(VALUE($C102), [1]SBOM!$F:$P, 11, FALSE)), 0), 2)-1.5, ROUND(IFERROR(IFERROR(VLOOKUP($C102, [1]SBOM!$F:$P, 11, FALSE),VLOOKUP(VALUE($C102), [1]SBOM!$F:$P, 11, FALSE)), 0), 2))&lt;0, 0, IF(RIGHT($A102,5)="FA160", ROUND(IFERROR(IFERROR(VLOOKUP($C102, [1]SBOM!$F:$P, 11, FALSE),VLOOKUP(VALUE($C102), [1]SBOM!$F:$P, 11, FALSE)), 0), 2)-1.5, ROUND(IFERROR(IFERROR(VLOOKUP($C102, [1]SBOM!$F:$P, 11, FALSE),VLOOKUP(VALUE($C102), [1]SBOM!$F:$P, 11, FALSE)), 0), 2)))</f>
        <v>6.5</v>
      </c>
    </row>
    <row r="103" spans="1:6">
      <c r="A103" t="s">
        <v>53</v>
      </c>
      <c r="B103">
        <f t="shared" si="1"/>
        <v>8</v>
      </c>
      <c r="C103" s="1" t="s">
        <v>27</v>
      </c>
      <c r="D103" t="str">
        <f>IFERROR(IFERROR(VLOOKUP($C103, [1]SBOM!$F:$G, 2, FALSE), VLOOKUP(VALUE($C103), [1]SBOM!$F:$G, 2, FALSE)), "")</f>
        <v>FlowArt: Dot-By-Letter, Winter's Glow [Metallic ink]</v>
      </c>
      <c r="E103">
        <v>4</v>
      </c>
      <c r="F103" s="2">
        <f>IF(IF(RIGHT($A103,5)="FA160", ROUND(IFERROR(IFERROR(VLOOKUP($C103, [1]SBOM!$F:$P, 11, FALSE),VLOOKUP(VALUE($C103), [1]SBOM!$F:$P, 11, FALSE)), 0), 2)-1.5, ROUND(IFERROR(IFERROR(VLOOKUP($C103, [1]SBOM!$F:$P, 11, FALSE),VLOOKUP(VALUE($C103), [1]SBOM!$F:$P, 11, FALSE)), 0), 2))&lt;0, 0, IF(RIGHT($A103,5)="FA160", ROUND(IFERROR(IFERROR(VLOOKUP($C103, [1]SBOM!$F:$P, 11, FALSE),VLOOKUP(VALUE($C103), [1]SBOM!$F:$P, 11, FALSE)), 0), 2)-1.5, ROUND(IFERROR(IFERROR(VLOOKUP($C103, [1]SBOM!$F:$P, 11, FALSE),VLOOKUP(VALUE($C103), [1]SBOM!$F:$P, 11, FALSE)), 0), 2)))</f>
        <v>6.5</v>
      </c>
    </row>
    <row r="104" spans="1:6">
      <c r="A104" t="s">
        <v>53</v>
      </c>
      <c r="B104">
        <f t="shared" si="1"/>
        <v>9</v>
      </c>
      <c r="C104" s="1" t="s">
        <v>26</v>
      </c>
      <c r="D104" t="str">
        <f>IFERROR(IFERROR(VLOOKUP($C104, [1]SBOM!$F:$G, 2, FALSE), VLOOKUP(VALUE($C104), [1]SBOM!$F:$G, 2, FALSE)), "")</f>
        <v>FlowArt: Dot-By-Letter, Snowed In</v>
      </c>
      <c r="E104">
        <v>4</v>
      </c>
      <c r="F104" s="2">
        <f>IF(IF(RIGHT($A104,5)="FA160", ROUND(IFERROR(IFERROR(VLOOKUP($C104, [1]SBOM!$F:$P, 11, FALSE),VLOOKUP(VALUE($C104), [1]SBOM!$F:$P, 11, FALSE)), 0), 2)-1.5, ROUND(IFERROR(IFERROR(VLOOKUP($C104, [1]SBOM!$F:$P, 11, FALSE),VLOOKUP(VALUE($C104), [1]SBOM!$F:$P, 11, FALSE)), 0), 2))&lt;0, 0, IF(RIGHT($A104,5)="FA160", ROUND(IFERROR(IFERROR(VLOOKUP($C104, [1]SBOM!$F:$P, 11, FALSE),VLOOKUP(VALUE($C104), [1]SBOM!$F:$P, 11, FALSE)), 0), 2)-1.5, ROUND(IFERROR(IFERROR(VLOOKUP($C104, [1]SBOM!$F:$P, 11, FALSE),VLOOKUP(VALUE($C104), [1]SBOM!$F:$P, 11, FALSE)), 0), 2)))</f>
        <v>6.5</v>
      </c>
    </row>
    <row r="105" spans="1:6">
      <c r="A105" t="s">
        <v>53</v>
      </c>
      <c r="B105">
        <f t="shared" si="1"/>
        <v>10</v>
      </c>
      <c r="C105" s="1" t="s">
        <v>68</v>
      </c>
      <c r="D105" t="str">
        <f>IFERROR(IFERROR(VLOOKUP($C105, [1]SBOM!$F:$G, 2, FALSE), VLOOKUP(VALUE($C105), [1]SBOM!$F:$G, 2, FALSE)), "")</f>
        <v>FlowArt: Dot-By-Letter, Majestic Earth [Metallic ink]</v>
      </c>
      <c r="E105">
        <v>4</v>
      </c>
      <c r="F105" s="2">
        <f>IF(IF(RIGHT($A105,5)="FA160", ROUND(IFERROR(IFERROR(VLOOKUP($C105, [1]SBOM!$F:$P, 11, FALSE),VLOOKUP(VALUE($C105), [1]SBOM!$F:$P, 11, FALSE)), 0), 2)-1.5, ROUND(IFERROR(IFERROR(VLOOKUP($C105, [1]SBOM!$F:$P, 11, FALSE),VLOOKUP(VALUE($C105), [1]SBOM!$F:$P, 11, FALSE)), 0), 2))&lt;0, 0, IF(RIGHT($A105,5)="FA160", ROUND(IFERROR(IFERROR(VLOOKUP($C105, [1]SBOM!$F:$P, 11, FALSE),VLOOKUP(VALUE($C105), [1]SBOM!$F:$P, 11, FALSE)), 0), 2)-1.5, ROUND(IFERROR(IFERROR(VLOOKUP($C105, [1]SBOM!$F:$P, 11, FALSE),VLOOKUP(VALUE($C105), [1]SBOM!$F:$P, 11, FALSE)), 0), 2)))</f>
        <v>6.5</v>
      </c>
    </row>
    <row r="106" spans="1:6">
      <c r="A106" t="s">
        <v>53</v>
      </c>
      <c r="B106">
        <f t="shared" si="1"/>
        <v>11</v>
      </c>
      <c r="C106" s="1" t="s">
        <v>81</v>
      </c>
      <c r="D106" t="str">
        <f>IFERROR(IFERROR(VLOOKUP($C106, [1]SBOM!$F:$G, 2, FALSE), VLOOKUP(VALUE($C106), [1]SBOM!$F:$G, 2, FALSE)), "")</f>
        <v>FlowArt: Color-to-Reveal, Home for the Holidays [Scented]</v>
      </c>
      <c r="E106">
        <v>4</v>
      </c>
      <c r="F106" s="2">
        <f>IF(IF(RIGHT($A106,5)="FA160", ROUND(IFERROR(IFERROR(VLOOKUP($C106, [1]SBOM!$F:$P, 11, FALSE),VLOOKUP(VALUE($C106), [1]SBOM!$F:$P, 11, FALSE)), 0), 2)-1.5, ROUND(IFERROR(IFERROR(VLOOKUP($C106, [1]SBOM!$F:$P, 11, FALSE),VLOOKUP(VALUE($C106), [1]SBOM!$F:$P, 11, FALSE)), 0), 2))&lt;0, 0, IF(RIGHT($A106,5)="FA160", ROUND(IFERROR(IFERROR(VLOOKUP($C106, [1]SBOM!$F:$P, 11, FALSE),VLOOKUP(VALUE($C106), [1]SBOM!$F:$P, 11, FALSE)), 0), 2)-1.5, ROUND(IFERROR(IFERROR(VLOOKUP($C106, [1]SBOM!$F:$P, 11, FALSE),VLOOKUP(VALUE($C106), [1]SBOM!$F:$P, 11, FALSE)), 0), 2)))</f>
        <v>6.5</v>
      </c>
    </row>
    <row r="107" spans="1:6">
      <c r="A107" t="s">
        <v>48</v>
      </c>
      <c r="B107">
        <f t="shared" si="1"/>
        <v>1</v>
      </c>
      <c r="C107" s="1" t="s">
        <v>34</v>
      </c>
      <c r="D107" t="str">
        <f>IFERROR(IFERROR(VLOOKUP($C107, [1]SBOM!$F:$G, 2, FALSE), VLOOKUP(VALUE($C107), [1]SBOM!$F:$G, 2, FALSE)), "")</f>
        <v>FlowArt - Spinner Tower - Empty</v>
      </c>
      <c r="E107">
        <v>1</v>
      </c>
      <c r="F107" s="2">
        <f>IF(IF(RIGHT($A107,5)="FA160", ROUND(IFERROR(IFERROR(VLOOKUP($C107, [1]SBOM!$F:$P, 11, FALSE),VLOOKUP(VALUE($C107), [1]SBOM!$F:$P, 11, FALSE)), 0), 2)-1.5, ROUND(IFERROR(IFERROR(VLOOKUP($C107, [1]SBOM!$F:$P, 11, FALSE),VLOOKUP(VALUE($C107), [1]SBOM!$F:$P, 11, FALSE)), 0), 2))&lt;0, 0, IF(RIGHT($A107,5)="FA160", ROUND(IFERROR(IFERROR(VLOOKUP($C107, [1]SBOM!$F:$P, 11, FALSE),VLOOKUP(VALUE($C107), [1]SBOM!$F:$P, 11, FALSE)), 0), 2)-1.5, ROUND(IFERROR(IFERROR(VLOOKUP($C107, [1]SBOM!$F:$P, 11, FALSE),VLOOKUP(VALUE($C107), [1]SBOM!$F:$P, 11, FALSE)), 0), 2)))</f>
        <v>0</v>
      </c>
    </row>
    <row r="108" spans="1:6">
      <c r="A108" t="s">
        <v>48</v>
      </c>
      <c r="B108">
        <f t="shared" si="1"/>
        <v>2</v>
      </c>
      <c r="C108" s="1" t="s">
        <v>29</v>
      </c>
      <c r="D108" t="str">
        <f>IFERROR(IFERROR(VLOOKUP($C108, [1]SBOM!$F:$G, 2, FALSE), VLOOKUP(VALUE($C108), [1]SBOM!$F:$G, 2, FALSE)), "")</f>
        <v>FlowArt: Dot-By-Letter, Into the Galaxy [Metallic ink]</v>
      </c>
      <c r="E108">
        <v>12</v>
      </c>
      <c r="F108" s="2">
        <f>IF(IF(RIGHT($A108,5)="FA160", ROUND(IFERROR(IFERROR(VLOOKUP($C108, [1]SBOM!$F:$P, 11, FALSE),VLOOKUP(VALUE($C108), [1]SBOM!$F:$P, 11, FALSE)), 0), 2)-1.5, ROUND(IFERROR(IFERROR(VLOOKUP($C108, [1]SBOM!$F:$P, 11, FALSE),VLOOKUP(VALUE($C108), [1]SBOM!$F:$P, 11, FALSE)), 0), 2))&lt;0, 0, IF(RIGHT($A108,5)="FA160", ROUND(IFERROR(IFERROR(VLOOKUP($C108, [1]SBOM!$F:$P, 11, FALSE),VLOOKUP(VALUE($C108), [1]SBOM!$F:$P, 11, FALSE)), 0), 2)-1.5, ROUND(IFERROR(IFERROR(VLOOKUP($C108, [1]SBOM!$F:$P, 11, FALSE),VLOOKUP(VALUE($C108), [1]SBOM!$F:$P, 11, FALSE)), 0), 2)))</f>
        <v>5</v>
      </c>
    </row>
    <row r="109" spans="1:6">
      <c r="A109" t="s">
        <v>48</v>
      </c>
      <c r="B109">
        <f t="shared" si="1"/>
        <v>3</v>
      </c>
      <c r="C109" s="1" t="s">
        <v>16</v>
      </c>
      <c r="D109" t="str">
        <f>IFERROR(IFERROR(VLOOKUP($C109, [1]SBOM!$F:$G, 2, FALSE), VLOOKUP(VALUE($C109), [1]SBOM!$F:$G, 2, FALSE)), "")</f>
        <v>FlowArt: Dot-By-Letter, Cozy Cottage</v>
      </c>
      <c r="E109">
        <v>8</v>
      </c>
      <c r="F109" s="2">
        <f>IF(IF(RIGHT($A109,5)="FA160", ROUND(IFERROR(IFERROR(VLOOKUP($C109, [1]SBOM!$F:$P, 11, FALSE),VLOOKUP(VALUE($C109), [1]SBOM!$F:$P, 11, FALSE)), 0), 2)-1.5, ROUND(IFERROR(IFERROR(VLOOKUP($C109, [1]SBOM!$F:$P, 11, FALSE),VLOOKUP(VALUE($C109), [1]SBOM!$F:$P, 11, FALSE)), 0), 2))&lt;0, 0, IF(RIGHT($A109,5)="FA160", ROUND(IFERROR(IFERROR(VLOOKUP($C109, [1]SBOM!$F:$P, 11, FALSE),VLOOKUP(VALUE($C109), [1]SBOM!$F:$P, 11, FALSE)), 0), 2)-1.5, ROUND(IFERROR(IFERROR(VLOOKUP($C109, [1]SBOM!$F:$P, 11, FALSE),VLOOKUP(VALUE($C109), [1]SBOM!$F:$P, 11, FALSE)), 0), 2)))</f>
        <v>5</v>
      </c>
    </row>
    <row r="110" spans="1:6">
      <c r="A110" t="s">
        <v>48</v>
      </c>
      <c r="B110">
        <f t="shared" si="1"/>
        <v>4</v>
      </c>
      <c r="C110" s="1" t="s">
        <v>30</v>
      </c>
      <c r="D110" t="str">
        <f>IFERROR(IFERROR(VLOOKUP($C110, [1]SBOM!$F:$G, 2, FALSE), VLOOKUP(VALUE($C110), [1]SBOM!$F:$G, 2, FALSE)), "")</f>
        <v>FlowArt: Dot-By-Letter, Into the Deep [Metallic ink]</v>
      </c>
      <c r="E110">
        <v>12</v>
      </c>
      <c r="F110" s="2">
        <f>IF(IF(RIGHT($A110,5)="FA160", ROUND(IFERROR(IFERROR(VLOOKUP($C110, [1]SBOM!$F:$P, 11, FALSE),VLOOKUP(VALUE($C110), [1]SBOM!$F:$P, 11, FALSE)), 0), 2)-1.5, ROUND(IFERROR(IFERROR(VLOOKUP($C110, [1]SBOM!$F:$P, 11, FALSE),VLOOKUP(VALUE($C110), [1]SBOM!$F:$P, 11, FALSE)), 0), 2))&lt;0, 0, IF(RIGHT($A110,5)="FA160", ROUND(IFERROR(IFERROR(VLOOKUP($C110, [1]SBOM!$F:$P, 11, FALSE),VLOOKUP(VALUE($C110), [1]SBOM!$F:$P, 11, FALSE)), 0), 2)-1.5, ROUND(IFERROR(IFERROR(VLOOKUP($C110, [1]SBOM!$F:$P, 11, FALSE),VLOOKUP(VALUE($C110), [1]SBOM!$F:$P, 11, FALSE)), 0), 2)))</f>
        <v>5</v>
      </c>
    </row>
    <row r="111" spans="1:6">
      <c r="A111" t="s">
        <v>48</v>
      </c>
      <c r="B111">
        <f t="shared" si="1"/>
        <v>5</v>
      </c>
      <c r="C111" s="1" t="s">
        <v>31</v>
      </c>
      <c r="D111" t="str">
        <f>IFERROR(IFERROR(VLOOKUP($C111, [1]SBOM!$F:$G, 2, FALSE), VLOOKUP(VALUE($C111), [1]SBOM!$F:$G, 2, FALSE)), "")</f>
        <v>FlowArt: Trace-By-Groove, Jungle Oasis</v>
      </c>
      <c r="E111">
        <v>4</v>
      </c>
      <c r="F111" s="2">
        <f>IF(IF(RIGHT($A111,5)="FA160", ROUND(IFERROR(IFERROR(VLOOKUP($C111, [1]SBOM!$F:$P, 11, FALSE),VLOOKUP(VALUE($C111), [1]SBOM!$F:$P, 11, FALSE)), 0), 2)-1.5, ROUND(IFERROR(IFERROR(VLOOKUP($C111, [1]SBOM!$F:$P, 11, FALSE),VLOOKUP(VALUE($C111), [1]SBOM!$F:$P, 11, FALSE)), 0), 2))&lt;0, 0, IF(RIGHT($A111,5)="FA160", ROUND(IFERROR(IFERROR(VLOOKUP($C111, [1]SBOM!$F:$P, 11, FALSE),VLOOKUP(VALUE($C111), [1]SBOM!$F:$P, 11, FALSE)), 0), 2)-1.5, ROUND(IFERROR(IFERROR(VLOOKUP($C111, [1]SBOM!$F:$P, 11, FALSE),VLOOKUP(VALUE($C111), [1]SBOM!$F:$P, 11, FALSE)), 0), 2)))</f>
        <v>5</v>
      </c>
    </row>
    <row r="112" spans="1:6">
      <c r="A112" t="s">
        <v>48</v>
      </c>
      <c r="B112">
        <f t="shared" si="1"/>
        <v>6</v>
      </c>
      <c r="C112" s="1" t="s">
        <v>51</v>
      </c>
      <c r="D112" t="str">
        <f>IFERROR(IFERROR(VLOOKUP($C112, [1]SBOM!$F:$G, 2, FALSE), VLOOKUP(VALUE($C112), [1]SBOM!$F:$G, 2, FALSE)), "")</f>
        <v>FlowArt: Color-to-Reveal, Citrus Coastlines</v>
      </c>
      <c r="E112">
        <v>4</v>
      </c>
      <c r="F112" s="2">
        <f>IF(IF(RIGHT($A112,5)="FA160", ROUND(IFERROR(IFERROR(VLOOKUP($C112, [1]SBOM!$F:$P, 11, FALSE),VLOOKUP(VALUE($C112), [1]SBOM!$F:$P, 11, FALSE)), 0), 2)-1.5, ROUND(IFERROR(IFERROR(VLOOKUP($C112, [1]SBOM!$F:$P, 11, FALSE),VLOOKUP(VALUE($C112), [1]SBOM!$F:$P, 11, FALSE)), 0), 2))&lt;0, 0, IF(RIGHT($A112,5)="FA160", ROUND(IFERROR(IFERROR(VLOOKUP($C112, [1]SBOM!$F:$P, 11, FALSE),VLOOKUP(VALUE($C112), [1]SBOM!$F:$P, 11, FALSE)), 0), 2)-1.5, ROUND(IFERROR(IFERROR(VLOOKUP($C112, [1]SBOM!$F:$P, 11, FALSE),VLOOKUP(VALUE($C112), [1]SBOM!$F:$P, 11, FALSE)), 0), 2)))</f>
        <v>5</v>
      </c>
    </row>
    <row r="113" spans="1:6">
      <c r="A113" t="s">
        <v>48</v>
      </c>
      <c r="B113">
        <f t="shared" si="1"/>
        <v>7</v>
      </c>
      <c r="C113" s="1" t="s">
        <v>18</v>
      </c>
      <c r="D113" t="str">
        <f>IFERROR(IFERROR(VLOOKUP($C113, [1]SBOM!$F:$G, 2, FALSE), VLOOKUP(VALUE($C113), [1]SBOM!$F:$G, 2, FALSE)), "")</f>
        <v>FlowArt: Color-to-Reveal, Fragrant Blooms</v>
      </c>
      <c r="E113">
        <v>4</v>
      </c>
      <c r="F113" s="2">
        <f>IF(IF(RIGHT($A113,5)="FA160", ROUND(IFERROR(IFERROR(VLOOKUP($C113, [1]SBOM!$F:$P, 11, FALSE),VLOOKUP(VALUE($C113), [1]SBOM!$F:$P, 11, FALSE)), 0), 2)-1.5, ROUND(IFERROR(IFERROR(VLOOKUP($C113, [1]SBOM!$F:$P, 11, FALSE),VLOOKUP(VALUE($C113), [1]SBOM!$F:$P, 11, FALSE)), 0), 2))&lt;0, 0, IF(RIGHT($A113,5)="FA160", ROUND(IFERROR(IFERROR(VLOOKUP($C113, [1]SBOM!$F:$P, 11, FALSE),VLOOKUP(VALUE($C113), [1]SBOM!$F:$P, 11, FALSE)), 0), 2)-1.5, ROUND(IFERROR(IFERROR(VLOOKUP($C113, [1]SBOM!$F:$P, 11, FALSE),VLOOKUP(VALUE($C113), [1]SBOM!$F:$P, 11, FALSE)), 0), 2)))</f>
        <v>5</v>
      </c>
    </row>
    <row r="114" spans="1:6">
      <c r="A114" t="s">
        <v>48</v>
      </c>
      <c r="B114">
        <f t="shared" si="1"/>
        <v>8</v>
      </c>
      <c r="C114" s="1" t="s">
        <v>69</v>
      </c>
      <c r="D114" t="str">
        <f>IFERROR(IFERROR(VLOOKUP($C114, [1]SBOM!$F:$G, 2, FALSE), VLOOKUP(VALUE($C114), [1]SBOM!$F:$G, 2, FALSE)), "")</f>
        <v>FlowArt: Dot-By-Letter, Everyday Inspiration</v>
      </c>
      <c r="E114">
        <v>12</v>
      </c>
      <c r="F114" s="2">
        <f>IF(IF(RIGHT($A114,5)="FA160", ROUND(IFERROR(IFERROR(VLOOKUP($C114, [1]SBOM!$F:$P, 11, FALSE),VLOOKUP(VALUE($C114), [1]SBOM!$F:$P, 11, FALSE)), 0), 2)-1.5, ROUND(IFERROR(IFERROR(VLOOKUP($C114, [1]SBOM!$F:$P, 11, FALSE),VLOOKUP(VALUE($C114), [1]SBOM!$F:$P, 11, FALSE)), 0), 2))&lt;0, 0, IF(RIGHT($A114,5)="FA160", ROUND(IFERROR(IFERROR(VLOOKUP($C114, [1]SBOM!$F:$P, 11, FALSE),VLOOKUP(VALUE($C114), [1]SBOM!$F:$P, 11, FALSE)), 0), 2)-1.5, ROUND(IFERROR(IFERROR(VLOOKUP($C114, [1]SBOM!$F:$P, 11, FALSE),VLOOKUP(VALUE($C114), [1]SBOM!$F:$P, 11, FALSE)), 0), 2)))</f>
        <v>5</v>
      </c>
    </row>
    <row r="115" spans="1:6">
      <c r="A115" t="s">
        <v>48</v>
      </c>
      <c r="B115">
        <f t="shared" si="1"/>
        <v>9</v>
      </c>
      <c r="C115" s="1" t="s">
        <v>49</v>
      </c>
      <c r="D115" t="str">
        <f>IFERROR(IFERROR(VLOOKUP($C115, [1]SBOM!$F:$G, 2, FALSE), VLOOKUP(VALUE($C115), [1]SBOM!$F:$G, 2, FALSE)), "")</f>
        <v>FlowArt: Dot-By-Letter, Wags &amp; Whiskers</v>
      </c>
      <c r="E115">
        <v>12</v>
      </c>
      <c r="F115" s="2">
        <f>IF(IF(RIGHT($A115,5)="FA160", ROUND(IFERROR(IFERROR(VLOOKUP($C115, [1]SBOM!$F:$P, 11, FALSE),VLOOKUP(VALUE($C115), [1]SBOM!$F:$P, 11, FALSE)), 0), 2)-1.5, ROUND(IFERROR(IFERROR(VLOOKUP($C115, [1]SBOM!$F:$P, 11, FALSE),VLOOKUP(VALUE($C115), [1]SBOM!$F:$P, 11, FALSE)), 0), 2))&lt;0, 0, IF(RIGHT($A115,5)="FA160", ROUND(IFERROR(IFERROR(VLOOKUP($C115, [1]SBOM!$F:$P, 11, FALSE),VLOOKUP(VALUE($C115), [1]SBOM!$F:$P, 11, FALSE)), 0), 2)-1.5, ROUND(IFERROR(IFERROR(VLOOKUP($C115, [1]SBOM!$F:$P, 11, FALSE),VLOOKUP(VALUE($C115), [1]SBOM!$F:$P, 11, FALSE)), 0), 2)))</f>
        <v>5</v>
      </c>
    </row>
    <row r="116" spans="1:6">
      <c r="A116" t="s">
        <v>48</v>
      </c>
      <c r="B116">
        <f t="shared" si="1"/>
        <v>10</v>
      </c>
      <c r="C116" s="1" t="s">
        <v>20</v>
      </c>
      <c r="D116" t="str">
        <f>IFERROR(IFERROR(VLOOKUP($C116, [1]SBOM!$F:$G, 2, FALSE), VLOOKUP(VALUE($C116), [1]SBOM!$F:$G, 2, FALSE)), "")</f>
        <v>FlowArt: Dot-By-Letter, Day at the Beach</v>
      </c>
      <c r="E116">
        <v>8</v>
      </c>
      <c r="F116" s="2">
        <f>IF(IF(RIGHT($A116,5)="FA160", ROUND(IFERROR(IFERROR(VLOOKUP($C116, [1]SBOM!$F:$P, 11, FALSE),VLOOKUP(VALUE($C116), [1]SBOM!$F:$P, 11, FALSE)), 0), 2)-1.5, ROUND(IFERROR(IFERROR(VLOOKUP($C116, [1]SBOM!$F:$P, 11, FALSE),VLOOKUP(VALUE($C116), [1]SBOM!$F:$P, 11, FALSE)), 0), 2))&lt;0, 0, IF(RIGHT($A116,5)="FA160", ROUND(IFERROR(IFERROR(VLOOKUP($C116, [1]SBOM!$F:$P, 11, FALSE),VLOOKUP(VALUE($C116), [1]SBOM!$F:$P, 11, FALSE)), 0), 2)-1.5, ROUND(IFERROR(IFERROR(VLOOKUP($C116, [1]SBOM!$F:$P, 11, FALSE),VLOOKUP(VALUE($C116), [1]SBOM!$F:$P, 11, FALSE)), 0), 2)))</f>
        <v>5</v>
      </c>
    </row>
    <row r="117" spans="1:6">
      <c r="A117" t="s">
        <v>48</v>
      </c>
      <c r="B117">
        <f t="shared" si="1"/>
        <v>11</v>
      </c>
      <c r="C117" s="1" t="s">
        <v>23</v>
      </c>
      <c r="D117" t="str">
        <f>IFERROR(IFERROR(VLOOKUP($C117, [1]SBOM!$F:$G, 2, FALSE), VLOOKUP(VALUE($C117), [1]SBOM!$F:$G, 2, FALSE)), "")</f>
        <v>FlowArt: Trace-By-Line, Fall Harvest</v>
      </c>
      <c r="E117">
        <v>12</v>
      </c>
      <c r="F117" s="2">
        <f>IF(IF(RIGHT($A117,5)="FA160", ROUND(IFERROR(IFERROR(VLOOKUP($C117, [1]SBOM!$F:$P, 11, FALSE),VLOOKUP(VALUE($C117), [1]SBOM!$F:$P, 11, FALSE)), 0), 2)-1.5, ROUND(IFERROR(IFERROR(VLOOKUP($C117, [1]SBOM!$F:$P, 11, FALSE),VLOOKUP(VALUE($C117), [1]SBOM!$F:$P, 11, FALSE)), 0), 2))&lt;0, 0, IF(RIGHT($A117,5)="FA160", ROUND(IFERROR(IFERROR(VLOOKUP($C117, [1]SBOM!$F:$P, 11, FALSE),VLOOKUP(VALUE($C117), [1]SBOM!$F:$P, 11, FALSE)), 0), 2)-1.5, ROUND(IFERROR(IFERROR(VLOOKUP($C117, [1]SBOM!$F:$P, 11, FALSE),VLOOKUP(VALUE($C117), [1]SBOM!$F:$P, 11, FALSE)), 0), 2)))</f>
        <v>5</v>
      </c>
    </row>
    <row r="118" spans="1:6">
      <c r="A118" t="s">
        <v>48</v>
      </c>
      <c r="B118">
        <f t="shared" si="1"/>
        <v>12</v>
      </c>
      <c r="C118" s="1" t="s">
        <v>68</v>
      </c>
      <c r="D118" t="str">
        <f>IFERROR(IFERROR(VLOOKUP($C118, [1]SBOM!$F:$G, 2, FALSE), VLOOKUP(VALUE($C118), [1]SBOM!$F:$G, 2, FALSE)), "")</f>
        <v>FlowArt: Dot-By-Letter, Majestic Earth [Metallic ink]</v>
      </c>
      <c r="E118">
        <v>12</v>
      </c>
      <c r="F118" s="2">
        <f>IF(IF(RIGHT($A118,5)="FA160", ROUND(IFERROR(IFERROR(VLOOKUP($C118, [1]SBOM!$F:$P, 11, FALSE),VLOOKUP(VALUE($C118), [1]SBOM!$F:$P, 11, FALSE)), 0), 2)-1.5, ROUND(IFERROR(IFERROR(VLOOKUP($C118, [1]SBOM!$F:$P, 11, FALSE),VLOOKUP(VALUE($C118), [1]SBOM!$F:$P, 11, FALSE)), 0), 2))&lt;0, 0, IF(RIGHT($A118,5)="FA160", ROUND(IFERROR(IFERROR(VLOOKUP($C118, [1]SBOM!$F:$P, 11, FALSE),VLOOKUP(VALUE($C118), [1]SBOM!$F:$P, 11, FALSE)), 0), 2)-1.5, ROUND(IFERROR(IFERROR(VLOOKUP($C118, [1]SBOM!$F:$P, 11, FALSE),VLOOKUP(VALUE($C118), [1]SBOM!$F:$P, 11, FALSE)), 0), 2)))</f>
        <v>5</v>
      </c>
    </row>
    <row r="119" spans="1:6">
      <c r="A119" t="s">
        <v>48</v>
      </c>
      <c r="B119">
        <f t="shared" si="1"/>
        <v>13</v>
      </c>
      <c r="C119" s="1" t="s">
        <v>52</v>
      </c>
      <c r="D119" t="str">
        <f>IFERROR(IFERROR(VLOOKUP($C119, [1]SBOM!$F:$G, 2, FALSE), VLOOKUP(VALUE($C119), [1]SBOM!$F:$G, 2, FALSE)), "")</f>
        <v>FlowArt: Trace-By-Line, Brunch in Bloom</v>
      </c>
      <c r="E119">
        <v>8</v>
      </c>
      <c r="F119" s="2">
        <f>IF(IF(RIGHT($A119,5)="FA160", ROUND(IFERROR(IFERROR(VLOOKUP($C119, [1]SBOM!$F:$P, 11, FALSE),VLOOKUP(VALUE($C119), [1]SBOM!$F:$P, 11, FALSE)), 0), 2)-1.5, ROUND(IFERROR(IFERROR(VLOOKUP($C119, [1]SBOM!$F:$P, 11, FALSE),VLOOKUP(VALUE($C119), [1]SBOM!$F:$P, 11, FALSE)), 0), 2))&lt;0, 0, IF(RIGHT($A119,5)="FA160", ROUND(IFERROR(IFERROR(VLOOKUP($C119, [1]SBOM!$F:$P, 11, FALSE),VLOOKUP(VALUE($C119), [1]SBOM!$F:$P, 11, FALSE)), 0), 2)-1.5, ROUND(IFERROR(IFERROR(VLOOKUP($C119, [1]SBOM!$F:$P, 11, FALSE),VLOOKUP(VALUE($C119), [1]SBOM!$F:$P, 11, FALSE)), 0), 2)))</f>
        <v>5</v>
      </c>
    </row>
    <row r="120" spans="1:6">
      <c r="A120" t="s">
        <v>48</v>
      </c>
      <c r="B120">
        <f t="shared" si="1"/>
        <v>14</v>
      </c>
      <c r="C120" s="1" t="s">
        <v>19</v>
      </c>
      <c r="D120" t="str">
        <f>IFERROR(IFERROR(VLOOKUP($C120, [1]SBOM!$F:$G, 2, FALSE), VLOOKUP(VALUE($C120), [1]SBOM!$F:$G, 2, FALSE)), "")</f>
        <v>FlowArt: Trace-By-Line, Tropical Paradise</v>
      </c>
      <c r="E120">
        <v>12</v>
      </c>
      <c r="F120" s="2">
        <f>IF(IF(RIGHT($A120,5)="FA160", ROUND(IFERROR(IFERROR(VLOOKUP($C120, [1]SBOM!$F:$P, 11, FALSE),VLOOKUP(VALUE($C120), [1]SBOM!$F:$P, 11, FALSE)), 0), 2)-1.5, ROUND(IFERROR(IFERROR(VLOOKUP($C120, [1]SBOM!$F:$P, 11, FALSE),VLOOKUP(VALUE($C120), [1]SBOM!$F:$P, 11, FALSE)), 0), 2))&lt;0, 0, IF(RIGHT($A120,5)="FA160", ROUND(IFERROR(IFERROR(VLOOKUP($C120, [1]SBOM!$F:$P, 11, FALSE),VLOOKUP(VALUE($C120), [1]SBOM!$F:$P, 11, FALSE)), 0), 2)-1.5, ROUND(IFERROR(IFERROR(VLOOKUP($C120, [1]SBOM!$F:$P, 11, FALSE),VLOOKUP(VALUE($C120), [1]SBOM!$F:$P, 11, FALSE)), 0), 2)))</f>
        <v>5</v>
      </c>
    </row>
    <row r="121" spans="1:6">
      <c r="A121" t="s">
        <v>48</v>
      </c>
      <c r="B121">
        <f t="shared" si="1"/>
        <v>15</v>
      </c>
      <c r="C121" s="1" t="s">
        <v>79</v>
      </c>
      <c r="D121" t="str">
        <f>IFERROR(IFERROR(VLOOKUP($C121, [1]SBOM!$F:$G, 2, FALSE), VLOOKUP(VALUE($C121), [1]SBOM!$F:$G, 2, FALSE)), "")</f>
        <v>FlowArt: Trace-By-Line, Woodland Whimsy</v>
      </c>
      <c r="E121">
        <v>8</v>
      </c>
      <c r="F121" s="2">
        <f>IF(IF(RIGHT($A121,5)="FA160", ROUND(IFERROR(IFERROR(VLOOKUP($C121, [1]SBOM!$F:$P, 11, FALSE),VLOOKUP(VALUE($C121), [1]SBOM!$F:$P, 11, FALSE)), 0), 2)-1.5, ROUND(IFERROR(IFERROR(VLOOKUP($C121, [1]SBOM!$F:$P, 11, FALSE),VLOOKUP(VALUE($C121), [1]SBOM!$F:$P, 11, FALSE)), 0), 2))&lt;0, 0, IF(RIGHT($A121,5)="FA160", ROUND(IFERROR(IFERROR(VLOOKUP($C121, [1]SBOM!$F:$P, 11, FALSE),VLOOKUP(VALUE($C121), [1]SBOM!$F:$P, 11, FALSE)), 0), 2)-1.5, ROUND(IFERROR(IFERROR(VLOOKUP($C121, [1]SBOM!$F:$P, 11, FALSE),VLOOKUP(VALUE($C121), [1]SBOM!$F:$P, 11, FALSE)), 0), 2)))</f>
        <v>5</v>
      </c>
    </row>
    <row r="122" spans="1:6">
      <c r="A122" t="s">
        <v>48</v>
      </c>
      <c r="B122">
        <f t="shared" si="1"/>
        <v>16</v>
      </c>
      <c r="C122" s="1" t="s">
        <v>80</v>
      </c>
      <c r="D122" t="str">
        <f>IFERROR(IFERROR(VLOOKUP($C122, [1]SBOM!$F:$G, 2, FALSE), VLOOKUP(VALUE($C122), [1]SBOM!$F:$G, 2, FALSE)), "")</f>
        <v>FlowArt: Dot-By-Letter, The North Pole</v>
      </c>
      <c r="E122">
        <v>4</v>
      </c>
      <c r="F122" s="2">
        <f>IF(IF(RIGHT($A122,5)="FA160", ROUND(IFERROR(IFERROR(VLOOKUP($C122, [1]SBOM!$F:$P, 11, FALSE),VLOOKUP(VALUE($C122), [1]SBOM!$F:$P, 11, FALSE)), 0), 2)-1.5, ROUND(IFERROR(IFERROR(VLOOKUP($C122, [1]SBOM!$F:$P, 11, FALSE),VLOOKUP(VALUE($C122), [1]SBOM!$F:$P, 11, FALSE)), 0), 2))&lt;0, 0, IF(RIGHT($A122,5)="FA160", ROUND(IFERROR(IFERROR(VLOOKUP($C122, [1]SBOM!$F:$P, 11, FALSE),VLOOKUP(VALUE($C122), [1]SBOM!$F:$P, 11, FALSE)), 0), 2)-1.5, ROUND(IFERROR(IFERROR(VLOOKUP($C122, [1]SBOM!$F:$P, 11, FALSE),VLOOKUP(VALUE($C122), [1]SBOM!$F:$P, 11, FALSE)), 0), 2)))</f>
        <v>5</v>
      </c>
    </row>
    <row r="123" spans="1:6">
      <c r="A123" t="s">
        <v>48</v>
      </c>
      <c r="B123">
        <f t="shared" si="1"/>
        <v>17</v>
      </c>
      <c r="C123" s="1" t="s">
        <v>27</v>
      </c>
      <c r="D123" t="str">
        <f>IFERROR(IFERROR(VLOOKUP($C123, [1]SBOM!$F:$G, 2, FALSE), VLOOKUP(VALUE($C123), [1]SBOM!$F:$G, 2, FALSE)), "")</f>
        <v>FlowArt: Dot-By-Letter, Winter's Glow [Metallic ink]</v>
      </c>
      <c r="E123">
        <v>12</v>
      </c>
      <c r="F123" s="2">
        <f>IF(IF(RIGHT($A123,5)="FA160", ROUND(IFERROR(IFERROR(VLOOKUP($C123, [1]SBOM!$F:$P, 11, FALSE),VLOOKUP(VALUE($C123), [1]SBOM!$F:$P, 11, FALSE)), 0), 2)-1.5, ROUND(IFERROR(IFERROR(VLOOKUP($C123, [1]SBOM!$F:$P, 11, FALSE),VLOOKUP(VALUE($C123), [1]SBOM!$F:$P, 11, FALSE)), 0), 2))&lt;0, 0, IF(RIGHT($A123,5)="FA160", ROUND(IFERROR(IFERROR(VLOOKUP($C123, [1]SBOM!$F:$P, 11, FALSE),VLOOKUP(VALUE($C123), [1]SBOM!$F:$P, 11, FALSE)), 0), 2)-1.5, ROUND(IFERROR(IFERROR(VLOOKUP($C123, [1]SBOM!$F:$P, 11, FALSE),VLOOKUP(VALUE($C123), [1]SBOM!$F:$P, 11, FALSE)), 0), 2)))</f>
        <v>5</v>
      </c>
    </row>
    <row r="124" spans="1:6">
      <c r="A124" t="s">
        <v>48</v>
      </c>
      <c r="B124">
        <f t="shared" si="1"/>
        <v>18</v>
      </c>
      <c r="C124" s="1" t="s">
        <v>25</v>
      </c>
      <c r="D124" t="str">
        <f>IFERROR(IFERROR(VLOOKUP($C124, [1]SBOM!$F:$G, 2, FALSE), VLOOKUP(VALUE($C124), [1]SBOM!$F:$G, 2, FALSE)), "")</f>
        <v>FlowArt: Dot-By-Letter, Winter Wonderland</v>
      </c>
      <c r="E124">
        <v>12</v>
      </c>
      <c r="F124" s="2">
        <f>IF(IF(RIGHT($A124,5)="FA160", ROUND(IFERROR(IFERROR(VLOOKUP($C124, [1]SBOM!$F:$P, 11, FALSE),VLOOKUP(VALUE($C124), [1]SBOM!$F:$P, 11, FALSE)), 0), 2)-1.5, ROUND(IFERROR(IFERROR(VLOOKUP($C124, [1]SBOM!$F:$P, 11, FALSE),VLOOKUP(VALUE($C124), [1]SBOM!$F:$P, 11, FALSE)), 0), 2))&lt;0, 0, IF(RIGHT($A124,5)="FA160", ROUND(IFERROR(IFERROR(VLOOKUP($C124, [1]SBOM!$F:$P, 11, FALSE),VLOOKUP(VALUE($C124), [1]SBOM!$F:$P, 11, FALSE)), 0), 2)-1.5, ROUND(IFERROR(IFERROR(VLOOKUP($C124, [1]SBOM!$F:$P, 11, FALSE),VLOOKUP(VALUE($C124), [1]SBOM!$F:$P, 11, FALSE)), 0), 2)))</f>
        <v>5</v>
      </c>
    </row>
    <row r="125" spans="1:6">
      <c r="A125" t="s">
        <v>48</v>
      </c>
      <c r="B125">
        <f t="shared" si="1"/>
        <v>19</v>
      </c>
      <c r="C125" s="1" t="s">
        <v>81</v>
      </c>
      <c r="D125" t="str">
        <f>IFERROR(IFERROR(VLOOKUP($C125, [1]SBOM!$F:$G, 2, FALSE), VLOOKUP(VALUE($C125), [1]SBOM!$F:$G, 2, FALSE)), "")</f>
        <v>FlowArt: Color-to-Reveal, Home for the Holidays [Scented]</v>
      </c>
      <c r="E125">
        <v>4</v>
      </c>
      <c r="F125" s="2">
        <f>IF(IF(RIGHT($A125,5)="FA160", ROUND(IFERROR(IFERROR(VLOOKUP($C125, [1]SBOM!$F:$P, 11, FALSE),VLOOKUP(VALUE($C125), [1]SBOM!$F:$P, 11, FALSE)), 0), 2)-1.5, ROUND(IFERROR(IFERROR(VLOOKUP($C125, [1]SBOM!$F:$P, 11, FALSE),VLOOKUP(VALUE($C125), [1]SBOM!$F:$P, 11, FALSE)), 0), 2))&lt;0, 0, IF(RIGHT($A125,5)="FA160", ROUND(IFERROR(IFERROR(VLOOKUP($C125, [1]SBOM!$F:$P, 11, FALSE),VLOOKUP(VALUE($C125), [1]SBOM!$F:$P, 11, FALSE)), 0), 2)-1.5, ROUND(IFERROR(IFERROR(VLOOKUP($C125, [1]SBOM!$F:$P, 11, FALSE),VLOOKUP(VALUE($C125), [1]SBOM!$F:$P, 11, FALSE)), 0), 2)))</f>
        <v>5</v>
      </c>
    </row>
    <row r="126" spans="1:6">
      <c r="A126" t="s">
        <v>55</v>
      </c>
      <c r="B126">
        <f t="shared" si="1"/>
        <v>1</v>
      </c>
      <c r="C126" s="1" t="s">
        <v>21</v>
      </c>
      <c r="D126" t="str">
        <f>IFERROR(IFERROR(VLOOKUP($C126, [1]SBOM!$F:$G, 2, FALSE), VLOOKUP(VALUE($C126), [1]SBOM!$F:$G, 2, FALSE)), "")</f>
        <v>FlowArt: Dot-By-Letter, Strolling through Fall</v>
      </c>
      <c r="E126">
        <v>4</v>
      </c>
      <c r="F126" s="2">
        <f>IF(IF(RIGHT($A126,5)="FA160", ROUND(IFERROR(IFERROR(VLOOKUP($C126, [1]SBOM!$F:$P, 11, FALSE),VLOOKUP(VALUE($C126), [1]SBOM!$F:$P, 11, FALSE)), 0), 2)-1.5, ROUND(IFERROR(IFERROR(VLOOKUP($C126, [1]SBOM!$F:$P, 11, FALSE),VLOOKUP(VALUE($C126), [1]SBOM!$F:$P, 11, FALSE)), 0), 2))&lt;0, 0, IF(RIGHT($A126,5)="FA160", ROUND(IFERROR(IFERROR(VLOOKUP($C126, [1]SBOM!$F:$P, 11, FALSE),VLOOKUP(VALUE($C126), [1]SBOM!$F:$P, 11, FALSE)), 0), 2)-1.5, ROUND(IFERROR(IFERROR(VLOOKUP($C126, [1]SBOM!$F:$P, 11, FALSE),VLOOKUP(VALUE($C126), [1]SBOM!$F:$P, 11, FALSE)), 0), 2)))</f>
        <v>6.5</v>
      </c>
    </row>
    <row r="127" spans="1:6">
      <c r="A127" t="s">
        <v>55</v>
      </c>
      <c r="B127">
        <f t="shared" si="1"/>
        <v>2</v>
      </c>
      <c r="C127" s="1" t="s">
        <v>22</v>
      </c>
      <c r="D127" t="str">
        <f>IFERROR(IFERROR(VLOOKUP($C127, [1]SBOM!$F:$G, 2, FALSE), VLOOKUP(VALUE($C127), [1]SBOM!$F:$G, 2, FALSE)), "")</f>
        <v>FlowArt: Dot-By-Letter, Pumpkins &amp; Pastures</v>
      </c>
      <c r="E127">
        <v>4</v>
      </c>
      <c r="F127" s="2">
        <f>IF(IF(RIGHT($A127,5)="FA160", ROUND(IFERROR(IFERROR(VLOOKUP($C127, [1]SBOM!$F:$P, 11, FALSE),VLOOKUP(VALUE($C127), [1]SBOM!$F:$P, 11, FALSE)), 0), 2)-1.5, ROUND(IFERROR(IFERROR(VLOOKUP($C127, [1]SBOM!$F:$P, 11, FALSE),VLOOKUP(VALUE($C127), [1]SBOM!$F:$P, 11, FALSE)), 0), 2))&lt;0, 0, IF(RIGHT($A127,5)="FA160", ROUND(IFERROR(IFERROR(VLOOKUP($C127, [1]SBOM!$F:$P, 11, FALSE),VLOOKUP(VALUE($C127), [1]SBOM!$F:$P, 11, FALSE)), 0), 2)-1.5, ROUND(IFERROR(IFERROR(VLOOKUP($C127, [1]SBOM!$F:$P, 11, FALSE),VLOOKUP(VALUE($C127), [1]SBOM!$F:$P, 11, FALSE)), 0), 2)))</f>
        <v>6.5</v>
      </c>
    </row>
    <row r="128" spans="1:6">
      <c r="A128" t="s">
        <v>55</v>
      </c>
      <c r="B128">
        <f t="shared" si="1"/>
        <v>3</v>
      </c>
      <c r="C128" s="1" t="s">
        <v>78</v>
      </c>
      <c r="D128" t="str">
        <f>IFERROR(IFERROR(VLOOKUP($C128, [1]SBOM!$F:$G, 2, FALSE), VLOOKUP(VALUE($C128), [1]SBOM!$F:$G, 2, FALSE)), "")</f>
        <v>FlowArt: Dot-By-Letter, Sweater Weather [2025 Version]</v>
      </c>
      <c r="E128">
        <v>8</v>
      </c>
      <c r="F128" s="2">
        <f>IF(IF(RIGHT($A128,5)="FA160", ROUND(IFERROR(IFERROR(VLOOKUP($C128, [1]SBOM!$F:$P, 11, FALSE),VLOOKUP(VALUE($C128), [1]SBOM!$F:$P, 11, FALSE)), 0), 2)-1.5, ROUND(IFERROR(IFERROR(VLOOKUP($C128, [1]SBOM!$F:$P, 11, FALSE),VLOOKUP(VALUE($C128), [1]SBOM!$F:$P, 11, FALSE)), 0), 2))&lt;0, 0, IF(RIGHT($A128,5)="FA160", ROUND(IFERROR(IFERROR(VLOOKUP($C128, [1]SBOM!$F:$P, 11, FALSE),VLOOKUP(VALUE($C128), [1]SBOM!$F:$P, 11, FALSE)), 0), 2)-1.5, ROUND(IFERROR(IFERROR(VLOOKUP($C128, [1]SBOM!$F:$P, 11, FALSE),VLOOKUP(VALUE($C128), [1]SBOM!$F:$P, 11, FALSE)), 0), 2)))</f>
        <v>6.5</v>
      </c>
    </row>
    <row r="129" spans="1:6">
      <c r="A129" t="s">
        <v>55</v>
      </c>
      <c r="B129">
        <f t="shared" si="1"/>
        <v>4</v>
      </c>
      <c r="C129" s="1" t="s">
        <v>23</v>
      </c>
      <c r="D129" t="str">
        <f>IFERROR(IFERROR(VLOOKUP($C129, [1]SBOM!$F:$G, 2, FALSE), VLOOKUP(VALUE($C129), [1]SBOM!$F:$G, 2, FALSE)), "")</f>
        <v>FlowArt: Trace-By-Line, Fall Harvest</v>
      </c>
      <c r="E129">
        <v>4</v>
      </c>
      <c r="F129" s="2">
        <f>IF(IF(RIGHT($A129,5)="FA160", ROUND(IFERROR(IFERROR(VLOOKUP($C129, [1]SBOM!$F:$P, 11, FALSE),VLOOKUP(VALUE($C129), [1]SBOM!$F:$P, 11, FALSE)), 0), 2)-1.5, ROUND(IFERROR(IFERROR(VLOOKUP($C129, [1]SBOM!$F:$P, 11, FALSE),VLOOKUP(VALUE($C129), [1]SBOM!$F:$P, 11, FALSE)), 0), 2))&lt;0, 0, IF(RIGHT($A129,5)="FA160", ROUND(IFERROR(IFERROR(VLOOKUP($C129, [1]SBOM!$F:$P, 11, FALSE),VLOOKUP(VALUE($C129), [1]SBOM!$F:$P, 11, FALSE)), 0), 2)-1.5, ROUND(IFERROR(IFERROR(VLOOKUP($C129, [1]SBOM!$F:$P, 11, FALSE),VLOOKUP(VALUE($C129), [1]SBOM!$F:$P, 11, FALSE)), 0), 2)))</f>
        <v>6.5</v>
      </c>
    </row>
    <row r="130" spans="1:6">
      <c r="A130" t="s">
        <v>55</v>
      </c>
      <c r="B130">
        <f t="shared" si="1"/>
        <v>5</v>
      </c>
      <c r="C130" s="1" t="s">
        <v>59</v>
      </c>
      <c r="D130" t="str">
        <f>IFERROR(IFERROR(VLOOKUP($C130, [1]SBOM!$F:$G, 2, FALSE), VLOOKUP(VALUE($C130), [1]SBOM!$F:$G, 2, FALSE)), "")</f>
        <v>FlowArt: Color-to-Reveal, Fall is in the Air [Scented]</v>
      </c>
      <c r="E130">
        <v>4</v>
      </c>
      <c r="F130" s="2">
        <f>IF(IF(RIGHT($A130,5)="FA160", ROUND(IFERROR(IFERROR(VLOOKUP($C130, [1]SBOM!$F:$P, 11, FALSE),VLOOKUP(VALUE($C130), [1]SBOM!$F:$P, 11, FALSE)), 0), 2)-1.5, ROUND(IFERROR(IFERROR(VLOOKUP($C130, [1]SBOM!$F:$P, 11, FALSE),VLOOKUP(VALUE($C130), [1]SBOM!$F:$P, 11, FALSE)), 0), 2))&lt;0, 0, IF(RIGHT($A130,5)="FA160", ROUND(IFERROR(IFERROR(VLOOKUP($C130, [1]SBOM!$F:$P, 11, FALSE),VLOOKUP(VALUE($C130), [1]SBOM!$F:$P, 11, FALSE)), 0), 2)-1.5, ROUND(IFERROR(IFERROR(VLOOKUP($C130, [1]SBOM!$F:$P, 11, FALSE),VLOOKUP(VALUE($C130), [1]SBOM!$F:$P, 11, FALSE)), 0), 2)))</f>
        <v>6.5</v>
      </c>
    </row>
    <row r="131" spans="1:6">
      <c r="A131" t="s">
        <v>54</v>
      </c>
      <c r="B131">
        <f t="shared" si="1"/>
        <v>1</v>
      </c>
      <c r="C131" s="1" t="s">
        <v>16</v>
      </c>
      <c r="D131" t="str">
        <f>IFERROR(IFERROR(VLOOKUP($C131, [1]SBOM!$F:$G, 2, FALSE), VLOOKUP(VALUE($C131), [1]SBOM!$F:$G, 2, FALSE)), "")</f>
        <v>FlowArt: Dot-By-Letter, Cozy Cottage</v>
      </c>
      <c r="E131">
        <v>8</v>
      </c>
      <c r="F131" s="2">
        <f>IF(IF(RIGHT($A131,5)="FA160", ROUND(IFERROR(IFERROR(VLOOKUP($C131, [1]SBOM!$F:$P, 11, FALSE),VLOOKUP(VALUE($C131), [1]SBOM!$F:$P, 11, FALSE)), 0), 2)-1.5, ROUND(IFERROR(IFERROR(VLOOKUP($C131, [1]SBOM!$F:$P, 11, FALSE),VLOOKUP(VALUE($C131), [1]SBOM!$F:$P, 11, FALSE)), 0), 2))&lt;0, 0, IF(RIGHT($A131,5)="FA160", ROUND(IFERROR(IFERROR(VLOOKUP($C131, [1]SBOM!$F:$P, 11, FALSE),VLOOKUP(VALUE($C131), [1]SBOM!$F:$P, 11, FALSE)), 0), 2)-1.5, ROUND(IFERROR(IFERROR(VLOOKUP($C131, [1]SBOM!$F:$P, 11, FALSE),VLOOKUP(VALUE($C131), [1]SBOM!$F:$P, 11, FALSE)), 0), 2)))</f>
        <v>6.5</v>
      </c>
    </row>
    <row r="132" spans="1:6">
      <c r="A132" t="s">
        <v>54</v>
      </c>
      <c r="B132">
        <f t="shared" si="1"/>
        <v>2</v>
      </c>
      <c r="C132" s="1" t="s">
        <v>18</v>
      </c>
      <c r="D132" t="str">
        <f>IFERROR(IFERROR(VLOOKUP($C132, [1]SBOM!$F:$G, 2, FALSE), VLOOKUP(VALUE($C132), [1]SBOM!$F:$G, 2, FALSE)), "")</f>
        <v>FlowArt: Color-to-Reveal, Fragrant Blooms</v>
      </c>
      <c r="E132">
        <v>4</v>
      </c>
      <c r="F132" s="2">
        <f>IF(IF(RIGHT($A132,5)="FA160", ROUND(IFERROR(IFERROR(VLOOKUP($C132, [1]SBOM!$F:$P, 11, FALSE),VLOOKUP(VALUE($C132), [1]SBOM!$F:$P, 11, FALSE)), 0), 2)-1.5, ROUND(IFERROR(IFERROR(VLOOKUP($C132, [1]SBOM!$F:$P, 11, FALSE),VLOOKUP(VALUE($C132), [1]SBOM!$F:$P, 11, FALSE)), 0), 2))&lt;0, 0, IF(RIGHT($A132,5)="FA160", ROUND(IFERROR(IFERROR(VLOOKUP($C132, [1]SBOM!$F:$P, 11, FALSE),VLOOKUP(VALUE($C132), [1]SBOM!$F:$P, 11, FALSE)), 0), 2)-1.5, ROUND(IFERROR(IFERROR(VLOOKUP($C132, [1]SBOM!$F:$P, 11, FALSE),VLOOKUP(VALUE($C132), [1]SBOM!$F:$P, 11, FALSE)), 0), 2)))</f>
        <v>6.5</v>
      </c>
    </row>
    <row r="133" spans="1:6">
      <c r="A133" t="s">
        <v>54</v>
      </c>
      <c r="B133">
        <f t="shared" si="1"/>
        <v>3</v>
      </c>
      <c r="C133" s="1" t="s">
        <v>17</v>
      </c>
      <c r="D133" t="str">
        <f>IFERROR(IFERROR(VLOOKUP($C133, [1]SBOM!$F:$G, 2, FALSE), VLOOKUP(VALUE($C133), [1]SBOM!$F:$G, 2, FALSE)), "")</f>
        <v>FlowArt: Stamp by Shape, Secret Garden</v>
      </c>
      <c r="E133">
        <v>4</v>
      </c>
      <c r="F133" s="2">
        <f>IF(IF(RIGHT($A133,5)="FA160", ROUND(IFERROR(IFERROR(VLOOKUP($C133, [1]SBOM!$F:$P, 11, FALSE),VLOOKUP(VALUE($C133), [1]SBOM!$F:$P, 11, FALSE)), 0), 2)-1.5, ROUND(IFERROR(IFERROR(VLOOKUP($C133, [1]SBOM!$F:$P, 11, FALSE),VLOOKUP(VALUE($C133), [1]SBOM!$F:$P, 11, FALSE)), 0), 2))&lt;0, 0, IF(RIGHT($A133,5)="FA160", ROUND(IFERROR(IFERROR(VLOOKUP($C133, [1]SBOM!$F:$P, 11, FALSE),VLOOKUP(VALUE($C133), [1]SBOM!$F:$P, 11, FALSE)), 0), 2)-1.5, ROUND(IFERROR(IFERROR(VLOOKUP($C133, [1]SBOM!$F:$P, 11, FALSE),VLOOKUP(VALUE($C133), [1]SBOM!$F:$P, 11, FALSE)), 0), 2)))</f>
        <v>6.5</v>
      </c>
    </row>
    <row r="134" spans="1:6">
      <c r="A134" t="s">
        <v>54</v>
      </c>
      <c r="B134">
        <f t="shared" si="1"/>
        <v>4</v>
      </c>
      <c r="C134" s="1" t="s">
        <v>20</v>
      </c>
      <c r="D134" t="str">
        <f>IFERROR(IFERROR(VLOOKUP($C134, [1]SBOM!$F:$G, 2, FALSE), VLOOKUP(VALUE($C134), [1]SBOM!$F:$G, 2, FALSE)), "")</f>
        <v>FlowArt: Dot-By-Letter, Day at the Beach</v>
      </c>
      <c r="E134">
        <v>4</v>
      </c>
      <c r="F134" s="2">
        <f>IF(IF(RIGHT($A134,5)="FA160", ROUND(IFERROR(IFERROR(VLOOKUP($C134, [1]SBOM!$F:$P, 11, FALSE),VLOOKUP(VALUE($C134), [1]SBOM!$F:$P, 11, FALSE)), 0), 2)-1.5, ROUND(IFERROR(IFERROR(VLOOKUP($C134, [1]SBOM!$F:$P, 11, FALSE),VLOOKUP(VALUE($C134), [1]SBOM!$F:$P, 11, FALSE)), 0), 2))&lt;0, 0, IF(RIGHT($A134,5)="FA160", ROUND(IFERROR(IFERROR(VLOOKUP($C134, [1]SBOM!$F:$P, 11, FALSE),VLOOKUP(VALUE($C134), [1]SBOM!$F:$P, 11, FALSE)), 0), 2)-1.5, ROUND(IFERROR(IFERROR(VLOOKUP($C134, [1]SBOM!$F:$P, 11, FALSE),VLOOKUP(VALUE($C134), [1]SBOM!$F:$P, 11, FALSE)), 0), 2)))</f>
        <v>6.5</v>
      </c>
    </row>
    <row r="135" spans="1:6">
      <c r="A135" t="s">
        <v>54</v>
      </c>
      <c r="B135">
        <f t="shared" si="1"/>
        <v>5</v>
      </c>
      <c r="C135" s="1" t="s">
        <v>52</v>
      </c>
      <c r="D135" t="str">
        <f>IFERROR(IFERROR(VLOOKUP($C135, [1]SBOM!$F:$G, 2, FALSE), VLOOKUP(VALUE($C135), [1]SBOM!$F:$G, 2, FALSE)), "")</f>
        <v>FlowArt: Trace-By-Line, Brunch in Bloom</v>
      </c>
      <c r="E135">
        <v>4</v>
      </c>
      <c r="F135" s="2">
        <f>IF(IF(RIGHT($A135,5)="FA160", ROUND(IFERROR(IFERROR(VLOOKUP($C135, [1]SBOM!$F:$P, 11, FALSE),VLOOKUP(VALUE($C135), [1]SBOM!$F:$P, 11, FALSE)), 0), 2)-1.5, ROUND(IFERROR(IFERROR(VLOOKUP($C135, [1]SBOM!$F:$P, 11, FALSE),VLOOKUP(VALUE($C135), [1]SBOM!$F:$P, 11, FALSE)), 0), 2))&lt;0, 0, IF(RIGHT($A135,5)="FA160", ROUND(IFERROR(IFERROR(VLOOKUP($C135, [1]SBOM!$F:$P, 11, FALSE),VLOOKUP(VALUE($C135), [1]SBOM!$F:$P, 11, FALSE)), 0), 2)-1.5, ROUND(IFERROR(IFERROR(VLOOKUP($C135, [1]SBOM!$F:$P, 11, FALSE),VLOOKUP(VALUE($C135), [1]SBOM!$F:$P, 11, FALSE)), 0), 2)))</f>
        <v>6.5</v>
      </c>
    </row>
    <row r="136" spans="1:6">
      <c r="A136" t="s">
        <v>54</v>
      </c>
      <c r="B136">
        <f t="shared" si="1"/>
        <v>6</v>
      </c>
      <c r="C136" s="1" t="s">
        <v>50</v>
      </c>
      <c r="D136" t="str">
        <f>IFERROR(IFERROR(VLOOKUP($C136, [1]SBOM!$F:$G, 2, FALSE), VLOOKUP(VALUE($C136), [1]SBOM!$F:$G, 2, FALSE)), "")</f>
        <v>FlowArt: Dot-By-Letter, Americana</v>
      </c>
      <c r="E136">
        <v>8</v>
      </c>
      <c r="F136" s="2">
        <f>IF(IF(RIGHT($A136,5)="FA160", ROUND(IFERROR(IFERROR(VLOOKUP($C136, [1]SBOM!$F:$P, 11, FALSE),VLOOKUP(VALUE($C136), [1]SBOM!$F:$P, 11, FALSE)), 0), 2)-1.5, ROUND(IFERROR(IFERROR(VLOOKUP($C136, [1]SBOM!$F:$P, 11, FALSE),VLOOKUP(VALUE($C136), [1]SBOM!$F:$P, 11, FALSE)), 0), 2))&lt;0, 0, IF(RIGHT($A136,5)="FA160", ROUND(IFERROR(IFERROR(VLOOKUP($C136, [1]SBOM!$F:$P, 11, FALSE),VLOOKUP(VALUE($C136), [1]SBOM!$F:$P, 11, FALSE)), 0), 2)-1.5, ROUND(IFERROR(IFERROR(VLOOKUP($C136, [1]SBOM!$F:$P, 11, FALSE),VLOOKUP(VALUE($C136), [1]SBOM!$F:$P, 11, FALSE)), 0), 2)))</f>
        <v>6.5</v>
      </c>
    </row>
    <row r="137" spans="1:6">
      <c r="A137" t="s">
        <v>54</v>
      </c>
      <c r="B137">
        <f t="shared" ref="B137:B177" si="2">IF(A136=A137, B136+1, 1)</f>
        <v>7</v>
      </c>
      <c r="C137" s="1" t="s">
        <v>30</v>
      </c>
      <c r="D137" t="str">
        <f>IFERROR(IFERROR(VLOOKUP($C137, [1]SBOM!$F:$G, 2, FALSE), VLOOKUP(VALUE($C137), [1]SBOM!$F:$G, 2, FALSE)), "")</f>
        <v>FlowArt: Dot-By-Letter, Into the Deep [Metallic ink]</v>
      </c>
      <c r="E137">
        <v>4</v>
      </c>
      <c r="F137" s="2">
        <f>IF(IF(RIGHT($A137,5)="FA160", ROUND(IFERROR(IFERROR(VLOOKUP($C137, [1]SBOM!$F:$P, 11, FALSE),VLOOKUP(VALUE($C137), [1]SBOM!$F:$P, 11, FALSE)), 0), 2)-1.5, ROUND(IFERROR(IFERROR(VLOOKUP($C137, [1]SBOM!$F:$P, 11, FALSE),VLOOKUP(VALUE($C137), [1]SBOM!$F:$P, 11, FALSE)), 0), 2))&lt;0, 0, IF(RIGHT($A137,5)="FA160", ROUND(IFERROR(IFERROR(VLOOKUP($C137, [1]SBOM!$F:$P, 11, FALSE),VLOOKUP(VALUE($C137), [1]SBOM!$F:$P, 11, FALSE)), 0), 2)-1.5, ROUND(IFERROR(IFERROR(VLOOKUP($C137, [1]SBOM!$F:$P, 11, FALSE),VLOOKUP(VALUE($C137), [1]SBOM!$F:$P, 11, FALSE)), 0), 2)))</f>
        <v>6.5</v>
      </c>
    </row>
    <row r="138" spans="1:6">
      <c r="A138" t="s">
        <v>54</v>
      </c>
      <c r="B138">
        <f t="shared" si="2"/>
        <v>8</v>
      </c>
      <c r="C138" s="1" t="s">
        <v>51</v>
      </c>
      <c r="D138" t="str">
        <f>IFERROR(IFERROR(VLOOKUP($C138, [1]SBOM!$F:$G, 2, FALSE), VLOOKUP(VALUE($C138), [1]SBOM!$F:$G, 2, FALSE)), "")</f>
        <v>FlowArt: Color-to-Reveal, Citrus Coastlines</v>
      </c>
      <c r="E138">
        <v>4</v>
      </c>
      <c r="F138" s="2">
        <f>IF(IF(RIGHT($A138,5)="FA160", ROUND(IFERROR(IFERROR(VLOOKUP($C138, [1]SBOM!$F:$P, 11, FALSE),VLOOKUP(VALUE($C138), [1]SBOM!$F:$P, 11, FALSE)), 0), 2)-1.5, ROUND(IFERROR(IFERROR(VLOOKUP($C138, [1]SBOM!$F:$P, 11, FALSE),VLOOKUP(VALUE($C138), [1]SBOM!$F:$P, 11, FALSE)), 0), 2))&lt;0, 0, IF(RIGHT($A138,5)="FA160", ROUND(IFERROR(IFERROR(VLOOKUP($C138, [1]SBOM!$F:$P, 11, FALSE),VLOOKUP(VALUE($C138), [1]SBOM!$F:$P, 11, FALSE)), 0), 2)-1.5, ROUND(IFERROR(IFERROR(VLOOKUP($C138, [1]SBOM!$F:$P, 11, FALSE),VLOOKUP(VALUE($C138), [1]SBOM!$F:$P, 11, FALSE)), 0), 2)))</f>
        <v>6.5</v>
      </c>
    </row>
    <row r="139" spans="1:6">
      <c r="A139" t="s">
        <v>56</v>
      </c>
      <c r="B139">
        <f t="shared" si="2"/>
        <v>1</v>
      </c>
      <c r="C139" s="1" t="s">
        <v>25</v>
      </c>
      <c r="D139" t="str">
        <f>IFERROR(IFERROR(VLOOKUP($C139, [1]SBOM!$F:$G, 2, FALSE), VLOOKUP(VALUE($C139), [1]SBOM!$F:$G, 2, FALSE)), "")</f>
        <v>FlowArt: Dot-By-Letter, Winter Wonderland</v>
      </c>
      <c r="E139">
        <v>4</v>
      </c>
      <c r="F139" s="2">
        <f>IF(IF(RIGHT($A139,5)="FA160", ROUND(IFERROR(IFERROR(VLOOKUP($C139, [1]SBOM!$F:$P, 11, FALSE),VLOOKUP(VALUE($C139), [1]SBOM!$F:$P, 11, FALSE)), 0), 2)-1.5, ROUND(IFERROR(IFERROR(VLOOKUP($C139, [1]SBOM!$F:$P, 11, FALSE),VLOOKUP(VALUE($C139), [1]SBOM!$F:$P, 11, FALSE)), 0), 2))&lt;0, 0, IF(RIGHT($A139,5)="FA160", ROUND(IFERROR(IFERROR(VLOOKUP($C139, [1]SBOM!$F:$P, 11, FALSE),VLOOKUP(VALUE($C139), [1]SBOM!$F:$P, 11, FALSE)), 0), 2)-1.5, ROUND(IFERROR(IFERROR(VLOOKUP($C139, [1]SBOM!$F:$P, 11, FALSE),VLOOKUP(VALUE($C139), [1]SBOM!$F:$P, 11, FALSE)), 0), 2)))</f>
        <v>6.5</v>
      </c>
    </row>
    <row r="140" spans="1:6">
      <c r="A140" t="s">
        <v>56</v>
      </c>
      <c r="B140">
        <f t="shared" si="2"/>
        <v>2</v>
      </c>
      <c r="C140" s="1" t="s">
        <v>26</v>
      </c>
      <c r="D140" t="str">
        <f>IFERROR(IFERROR(VLOOKUP($C140, [1]SBOM!$F:$G, 2, FALSE), VLOOKUP(VALUE($C140), [1]SBOM!$F:$G, 2, FALSE)), "")</f>
        <v>FlowArt: Dot-By-Letter, Snowed In</v>
      </c>
      <c r="E140">
        <v>4</v>
      </c>
      <c r="F140" s="2">
        <f>IF(IF(RIGHT($A140,5)="FA160", ROUND(IFERROR(IFERROR(VLOOKUP($C140, [1]SBOM!$F:$P, 11, FALSE),VLOOKUP(VALUE($C140), [1]SBOM!$F:$P, 11, FALSE)), 0), 2)-1.5, ROUND(IFERROR(IFERROR(VLOOKUP($C140, [1]SBOM!$F:$P, 11, FALSE),VLOOKUP(VALUE($C140), [1]SBOM!$F:$P, 11, FALSE)), 0), 2))&lt;0, 0, IF(RIGHT($A140,5)="FA160", ROUND(IFERROR(IFERROR(VLOOKUP($C140, [1]SBOM!$F:$P, 11, FALSE),VLOOKUP(VALUE($C140), [1]SBOM!$F:$P, 11, FALSE)), 0), 2)-1.5, ROUND(IFERROR(IFERROR(VLOOKUP($C140, [1]SBOM!$F:$P, 11, FALSE),VLOOKUP(VALUE($C140), [1]SBOM!$F:$P, 11, FALSE)), 0), 2)))</f>
        <v>6.5</v>
      </c>
    </row>
    <row r="141" spans="1:6">
      <c r="A141" t="s">
        <v>56</v>
      </c>
      <c r="B141">
        <f t="shared" si="2"/>
        <v>3</v>
      </c>
      <c r="C141" s="1" t="s">
        <v>27</v>
      </c>
      <c r="D141" t="str">
        <f>IFERROR(IFERROR(VLOOKUP($C141, [1]SBOM!$F:$G, 2, FALSE), VLOOKUP(VALUE($C141), [1]SBOM!$F:$G, 2, FALSE)), "")</f>
        <v>FlowArt: Dot-By-Letter, Winter's Glow [Metallic ink]</v>
      </c>
      <c r="E141">
        <v>8</v>
      </c>
      <c r="F141" s="2">
        <f>IF(IF(RIGHT($A141,5)="FA160", ROUND(IFERROR(IFERROR(VLOOKUP($C141, [1]SBOM!$F:$P, 11, FALSE),VLOOKUP(VALUE($C141), [1]SBOM!$F:$P, 11, FALSE)), 0), 2)-1.5, ROUND(IFERROR(IFERROR(VLOOKUP($C141, [1]SBOM!$F:$P, 11, FALSE),VLOOKUP(VALUE($C141), [1]SBOM!$F:$P, 11, FALSE)), 0), 2))&lt;0, 0, IF(RIGHT($A141,5)="FA160", ROUND(IFERROR(IFERROR(VLOOKUP($C141, [1]SBOM!$F:$P, 11, FALSE),VLOOKUP(VALUE($C141), [1]SBOM!$F:$P, 11, FALSE)), 0), 2)-1.5, ROUND(IFERROR(IFERROR(VLOOKUP($C141, [1]SBOM!$F:$P, 11, FALSE),VLOOKUP(VALUE($C141), [1]SBOM!$F:$P, 11, FALSE)), 0), 2)))</f>
        <v>6.5</v>
      </c>
    </row>
    <row r="142" spans="1:6">
      <c r="A142" t="s">
        <v>56</v>
      </c>
      <c r="B142">
        <f t="shared" si="2"/>
        <v>4</v>
      </c>
      <c r="C142" s="1" t="s">
        <v>60</v>
      </c>
      <c r="D142" t="str">
        <f>IFERROR(IFERROR(VLOOKUP($C142, [1]SBOM!$F:$G, 2, FALSE), VLOOKUP(VALUE($C142), [1]SBOM!$F:$G, 2, FALSE)), "")</f>
        <v>FlowArt: Color-To-Reveal, Snowy Village [Scented]</v>
      </c>
      <c r="E142">
        <v>4</v>
      </c>
      <c r="F142" s="2">
        <f>IF(IF(RIGHT($A142,5)="FA160", ROUND(IFERROR(IFERROR(VLOOKUP($C142, [1]SBOM!$F:$P, 11, FALSE),VLOOKUP(VALUE($C142), [1]SBOM!$F:$P, 11, FALSE)), 0), 2)-1.5, ROUND(IFERROR(IFERROR(VLOOKUP($C142, [1]SBOM!$F:$P, 11, FALSE),VLOOKUP(VALUE($C142), [1]SBOM!$F:$P, 11, FALSE)), 0), 2))&lt;0, 0, IF(RIGHT($A142,5)="FA160", ROUND(IFERROR(IFERROR(VLOOKUP($C142, [1]SBOM!$F:$P, 11, FALSE),VLOOKUP(VALUE($C142), [1]SBOM!$F:$P, 11, FALSE)), 0), 2)-1.5, ROUND(IFERROR(IFERROR(VLOOKUP($C142, [1]SBOM!$F:$P, 11, FALSE),VLOOKUP(VALUE($C142), [1]SBOM!$F:$P, 11, FALSE)), 0), 2)))</f>
        <v>6.5</v>
      </c>
    </row>
    <row r="143" spans="1:6">
      <c r="A143" t="s">
        <v>56</v>
      </c>
      <c r="B143">
        <f t="shared" si="2"/>
        <v>5</v>
      </c>
      <c r="C143" s="1" t="s">
        <v>61</v>
      </c>
      <c r="D143" t="str">
        <f>IFERROR(IFERROR(VLOOKUP($C143, [1]SBOM!$F:$G, 2, FALSE), VLOOKUP(VALUE($C143), [1]SBOM!$F:$G, 2, FALSE)), "")</f>
        <v>FlowArt: Trace-by-Line, Gingerbread Delight</v>
      </c>
      <c r="E143">
        <v>4</v>
      </c>
      <c r="F143" s="2">
        <f>IF(IF(RIGHT($A143,5)="FA160", ROUND(IFERROR(IFERROR(VLOOKUP($C143, [1]SBOM!$F:$P, 11, FALSE),VLOOKUP(VALUE($C143), [1]SBOM!$F:$P, 11, FALSE)), 0), 2)-1.5, ROUND(IFERROR(IFERROR(VLOOKUP($C143, [1]SBOM!$F:$P, 11, FALSE),VLOOKUP(VALUE($C143), [1]SBOM!$F:$P, 11, FALSE)), 0), 2))&lt;0, 0, IF(RIGHT($A143,5)="FA160", ROUND(IFERROR(IFERROR(VLOOKUP($C143, [1]SBOM!$F:$P, 11, FALSE),VLOOKUP(VALUE($C143), [1]SBOM!$F:$P, 11, FALSE)), 0), 2)-1.5, ROUND(IFERROR(IFERROR(VLOOKUP($C143, [1]SBOM!$F:$P, 11, FALSE),VLOOKUP(VALUE($C143), [1]SBOM!$F:$P, 11, FALSE)), 0), 2)))</f>
        <v>6.5</v>
      </c>
    </row>
    <row r="144" spans="1:6">
      <c r="A144" t="s">
        <v>57</v>
      </c>
      <c r="B144">
        <f t="shared" si="2"/>
        <v>1</v>
      </c>
      <c r="C144" s="1" t="s">
        <v>36</v>
      </c>
      <c r="D144" t="str">
        <f>IFERROR(IFERROR(VLOOKUP($C144, [1]SBOM!$F:$G, 2, FALSE), VLOOKUP(VALUE($C144), [1]SBOM!$F:$G, 2, FALSE)), "")</f>
        <v>Pen Diffuser with Essential Oil Blends - In Bloom</v>
      </c>
      <c r="E144">
        <v>6</v>
      </c>
      <c r="F144" s="2">
        <f>IF(IF(RIGHT($A144,5)="FA160", ROUND(IFERROR(IFERROR(VLOOKUP($C144, [1]SBOM!$F:$P, 11, FALSE),VLOOKUP(VALUE($C144), [1]SBOM!$F:$P, 11, FALSE)), 0), 2)-1.5, ROUND(IFERROR(IFERROR(VLOOKUP($C144, [1]SBOM!$F:$P, 11, FALSE),VLOOKUP(VALUE($C144), [1]SBOM!$F:$P, 11, FALSE)), 0), 2))&lt;0, 0, IF(RIGHT($A144,5)="FA160", ROUND(IFERROR(IFERROR(VLOOKUP($C144, [1]SBOM!$F:$P, 11, FALSE),VLOOKUP(VALUE($C144), [1]SBOM!$F:$P, 11, FALSE)), 0), 2)-1.5, ROUND(IFERROR(IFERROR(VLOOKUP($C144, [1]SBOM!$F:$P, 11, FALSE),VLOOKUP(VALUE($C144), [1]SBOM!$F:$P, 11, FALSE)), 0), 2)))</f>
        <v>6.5</v>
      </c>
    </row>
    <row r="145" spans="1:6">
      <c r="A145" t="s">
        <v>57</v>
      </c>
      <c r="B145">
        <f t="shared" si="2"/>
        <v>2</v>
      </c>
      <c r="C145" s="1" t="s">
        <v>46</v>
      </c>
      <c r="D145" t="str">
        <f>IFERROR(IFERROR(VLOOKUP($C145, [1]SBOM!$F:$G, 2, FALSE), VLOOKUP(VALUE($C145), [1]SBOM!$F:$G, 2, FALSE)), "")</f>
        <v>Pen Diffuser with Essential Oil Blend- Crisp Mountain Air</v>
      </c>
      <c r="E145">
        <v>6</v>
      </c>
      <c r="F145" s="2">
        <f>IF(IF(RIGHT($A145,5)="FA160", ROUND(IFERROR(IFERROR(VLOOKUP($C145, [1]SBOM!$F:$P, 11, FALSE),VLOOKUP(VALUE($C145), [1]SBOM!$F:$P, 11, FALSE)), 0), 2)-1.5, ROUND(IFERROR(IFERROR(VLOOKUP($C145, [1]SBOM!$F:$P, 11, FALSE),VLOOKUP(VALUE($C145), [1]SBOM!$F:$P, 11, FALSE)), 0), 2))&lt;0, 0, IF(RIGHT($A145,5)="FA160", ROUND(IFERROR(IFERROR(VLOOKUP($C145, [1]SBOM!$F:$P, 11, FALSE),VLOOKUP(VALUE($C145), [1]SBOM!$F:$P, 11, FALSE)), 0), 2)-1.5, ROUND(IFERROR(IFERROR(VLOOKUP($C145, [1]SBOM!$F:$P, 11, FALSE),VLOOKUP(VALUE($C145), [1]SBOM!$F:$P, 11, FALSE)), 0), 2)))</f>
        <v>6.5</v>
      </c>
    </row>
    <row r="146" spans="1:6">
      <c r="A146" t="s">
        <v>57</v>
      </c>
      <c r="B146">
        <f t="shared" si="2"/>
        <v>3</v>
      </c>
      <c r="C146" s="1" t="s">
        <v>41</v>
      </c>
      <c r="D146" t="str">
        <f>IFERROR(IFERROR(VLOOKUP($C146, [1]SBOM!$F:$G, 2, FALSE), VLOOKUP(VALUE($C146), [1]SBOM!$F:$G, 2, FALSE)), "")</f>
        <v>Pen Diffuser with Essential Oil Blends -  Spiced Chai Latte</v>
      </c>
      <c r="E146">
        <v>8</v>
      </c>
      <c r="F146" s="2">
        <f>IF(IF(RIGHT($A146,5)="FA160", ROUND(IFERROR(IFERROR(VLOOKUP($C146, [1]SBOM!$F:$P, 11, FALSE),VLOOKUP(VALUE($C146), [1]SBOM!$F:$P, 11, FALSE)), 0), 2)-1.5, ROUND(IFERROR(IFERROR(VLOOKUP($C146, [1]SBOM!$F:$P, 11, FALSE),VLOOKUP(VALUE($C146), [1]SBOM!$F:$P, 11, FALSE)), 0), 2))&lt;0, 0, IF(RIGHT($A146,5)="FA160", ROUND(IFERROR(IFERROR(VLOOKUP($C146, [1]SBOM!$F:$P, 11, FALSE),VLOOKUP(VALUE($C146), [1]SBOM!$F:$P, 11, FALSE)), 0), 2)-1.5, ROUND(IFERROR(IFERROR(VLOOKUP($C146, [1]SBOM!$F:$P, 11, FALSE),VLOOKUP(VALUE($C146), [1]SBOM!$F:$P, 11, FALSE)), 0), 2)))</f>
        <v>6.5</v>
      </c>
    </row>
    <row r="147" spans="1:6">
      <c r="A147" t="s">
        <v>57</v>
      </c>
      <c r="B147">
        <f t="shared" si="2"/>
        <v>4</v>
      </c>
      <c r="C147" s="1" t="s">
        <v>43</v>
      </c>
      <c r="D147" t="str">
        <f>IFERROR(IFERROR(VLOOKUP($C147, [1]SBOM!$F:$G, 2, FALSE), VLOOKUP(VALUE($C147), [1]SBOM!$F:$G, 2, FALSE)), "")</f>
        <v>Pen Diffuser with Essential Oil Blends -  Strawberry Milkshake</v>
      </c>
      <c r="E147">
        <v>8</v>
      </c>
      <c r="F147" s="2">
        <f>IF(IF(RIGHT($A147,5)="FA160", ROUND(IFERROR(IFERROR(VLOOKUP($C147, [1]SBOM!$F:$P, 11, FALSE),VLOOKUP(VALUE($C147), [1]SBOM!$F:$P, 11, FALSE)), 0), 2)-1.5, ROUND(IFERROR(IFERROR(VLOOKUP($C147, [1]SBOM!$F:$P, 11, FALSE),VLOOKUP(VALUE($C147), [1]SBOM!$F:$P, 11, FALSE)), 0), 2))&lt;0, 0, IF(RIGHT($A147,5)="FA160", ROUND(IFERROR(IFERROR(VLOOKUP($C147, [1]SBOM!$F:$P, 11, FALSE),VLOOKUP(VALUE($C147), [1]SBOM!$F:$P, 11, FALSE)), 0), 2)-1.5, ROUND(IFERROR(IFERROR(VLOOKUP($C147, [1]SBOM!$F:$P, 11, FALSE),VLOOKUP(VALUE($C147), [1]SBOM!$F:$P, 11, FALSE)), 0), 2)))</f>
        <v>6.5</v>
      </c>
    </row>
    <row r="148" spans="1:6">
      <c r="A148" t="s">
        <v>57</v>
      </c>
      <c r="B148">
        <f t="shared" si="2"/>
        <v>5</v>
      </c>
      <c r="C148" s="1" t="s">
        <v>47</v>
      </c>
      <c r="D148" t="str">
        <f>IFERROR(IFERROR(VLOOKUP($C148, [1]SBOM!$F:$G, 2, FALSE), VLOOKUP(VALUE($C148), [1]SBOM!$F:$G, 2, FALSE)), "")</f>
        <v>Pen Diffuser with Essential Oil Blends -  Cotton Candy</v>
      </c>
      <c r="E148">
        <v>4</v>
      </c>
      <c r="F148" s="2">
        <f>IF(IF(RIGHT($A148,5)="FA160", ROUND(IFERROR(IFERROR(VLOOKUP($C148, [1]SBOM!$F:$P, 11, FALSE),VLOOKUP(VALUE($C148), [1]SBOM!$F:$P, 11, FALSE)), 0), 2)-1.5, ROUND(IFERROR(IFERROR(VLOOKUP($C148, [1]SBOM!$F:$P, 11, FALSE),VLOOKUP(VALUE($C148), [1]SBOM!$F:$P, 11, FALSE)), 0), 2))&lt;0, 0, IF(RIGHT($A148,5)="FA160", ROUND(IFERROR(IFERROR(VLOOKUP($C148, [1]SBOM!$F:$P, 11, FALSE),VLOOKUP(VALUE($C148), [1]SBOM!$F:$P, 11, FALSE)), 0), 2)-1.5, ROUND(IFERROR(IFERROR(VLOOKUP($C148, [1]SBOM!$F:$P, 11, FALSE),VLOOKUP(VALUE($C148), [1]SBOM!$F:$P, 11, FALSE)), 0), 2)))</f>
        <v>6.5</v>
      </c>
    </row>
    <row r="149" spans="1:6">
      <c r="A149" t="s">
        <v>57</v>
      </c>
      <c r="B149">
        <f t="shared" si="2"/>
        <v>6</v>
      </c>
      <c r="C149" s="1" t="s">
        <v>66</v>
      </c>
      <c r="D149" t="str">
        <f>IFERROR(IFERROR(VLOOKUP($C149, [1]SBOM!$F:$G, 2, FALSE), VLOOKUP(VALUE($C149), [1]SBOM!$F:$G, 2, FALSE)), "")</f>
        <v xml:space="preserve">Universal Tabletop Display - Empty </v>
      </c>
      <c r="E149">
        <v>1</v>
      </c>
      <c r="F149" s="2">
        <f>IF(IF(RIGHT($A149,5)="FA160", ROUND(IFERROR(IFERROR(VLOOKUP($C149, [1]SBOM!$F:$P, 11, FALSE),VLOOKUP(VALUE($C149), [1]SBOM!$F:$P, 11, FALSE)), 0), 2)-1.5, ROUND(IFERROR(IFERROR(VLOOKUP($C149, [1]SBOM!$F:$P, 11, FALSE),VLOOKUP(VALUE($C149), [1]SBOM!$F:$P, 11, FALSE)), 0), 2))&lt;0, 0, IF(RIGHT($A149,5)="FA160", ROUND(IFERROR(IFERROR(VLOOKUP($C149, [1]SBOM!$F:$P, 11, FALSE),VLOOKUP(VALUE($C149), [1]SBOM!$F:$P, 11, FALSE)), 0), 2)-1.5, ROUND(IFERROR(IFERROR(VLOOKUP($C149, [1]SBOM!$F:$P, 11, FALSE),VLOOKUP(VALUE($C149), [1]SBOM!$F:$P, 11, FALSE)), 0), 2)))</f>
        <v>0</v>
      </c>
    </row>
    <row r="150" spans="1:6">
      <c r="A150" t="s">
        <v>14</v>
      </c>
      <c r="B150">
        <f t="shared" si="2"/>
        <v>1</v>
      </c>
      <c r="C150" s="1" t="s">
        <v>8</v>
      </c>
      <c r="D150" t="str">
        <f>IFERROR(IFERROR(VLOOKUP($C150, [1]SBOM!$F:$G, 2, FALSE), VLOOKUP(VALUE($C150), [1]SBOM!$F:$G, 2, FALSE)), "")</f>
        <v>FlowArt: Mini Single - Pocket Positivity</v>
      </c>
      <c r="E150">
        <v>6</v>
      </c>
      <c r="F150" s="2">
        <f>IF(IF(RIGHT($A150,5)="FA160", ROUND(IFERROR(IFERROR(VLOOKUP($C150, [1]SBOM!$F:$P, 11, FALSE),VLOOKUP(VALUE($C150), [1]SBOM!$F:$P, 11, FALSE)), 0), 2)-1.5, ROUND(IFERROR(IFERROR(VLOOKUP($C150, [1]SBOM!$F:$P, 11, FALSE),VLOOKUP(VALUE($C150), [1]SBOM!$F:$P, 11, FALSE)), 0), 2))&lt;0, 0, IF(RIGHT($A150,5)="FA160", ROUND(IFERROR(IFERROR(VLOOKUP($C150, [1]SBOM!$F:$P, 11, FALSE),VLOOKUP(VALUE($C150), [1]SBOM!$F:$P, 11, FALSE)), 0), 2)-1.5, ROUND(IFERROR(IFERROR(VLOOKUP($C150, [1]SBOM!$F:$P, 11, FALSE),VLOOKUP(VALUE($C150), [1]SBOM!$F:$P, 11, FALSE)), 0), 2)))</f>
        <v>3.5</v>
      </c>
    </row>
    <row r="151" spans="1:6">
      <c r="A151" t="s">
        <v>14</v>
      </c>
      <c r="B151">
        <f t="shared" si="2"/>
        <v>2</v>
      </c>
      <c r="C151" s="1" t="s">
        <v>9</v>
      </c>
      <c r="D151" t="str">
        <f>IFERROR(IFERROR(VLOOKUP($C151, [1]SBOM!$F:$G, 2, FALSE), VLOOKUP(VALUE($C151), [1]SBOM!$F:$G, 2, FALSE)), "")</f>
        <v>FlowArt: Mini Single - Café Comforts</v>
      </c>
      <c r="E151">
        <v>6</v>
      </c>
      <c r="F151" s="2">
        <f>IF(IF(RIGHT($A151,5)="FA160", ROUND(IFERROR(IFERROR(VLOOKUP($C151, [1]SBOM!$F:$P, 11, FALSE),VLOOKUP(VALUE($C151), [1]SBOM!$F:$P, 11, FALSE)), 0), 2)-1.5, ROUND(IFERROR(IFERROR(VLOOKUP($C151, [1]SBOM!$F:$P, 11, FALSE),VLOOKUP(VALUE($C151), [1]SBOM!$F:$P, 11, FALSE)), 0), 2))&lt;0, 0, IF(RIGHT($A151,5)="FA160", ROUND(IFERROR(IFERROR(VLOOKUP($C151, [1]SBOM!$F:$P, 11, FALSE),VLOOKUP(VALUE($C151), [1]SBOM!$F:$P, 11, FALSE)), 0), 2)-1.5, ROUND(IFERROR(IFERROR(VLOOKUP($C151, [1]SBOM!$F:$P, 11, FALSE),VLOOKUP(VALUE($C151), [1]SBOM!$F:$P, 11, FALSE)), 0), 2)))</f>
        <v>3.5</v>
      </c>
    </row>
    <row r="152" spans="1:6">
      <c r="A152" t="s">
        <v>14</v>
      </c>
      <c r="B152">
        <f t="shared" si="2"/>
        <v>3</v>
      </c>
      <c r="C152" s="1" t="s">
        <v>10</v>
      </c>
      <c r="D152" t="str">
        <f>IFERROR(IFERROR(VLOOKUP($C152, [1]SBOM!$F:$G, 2, FALSE), VLOOKUP(VALUE($C152), [1]SBOM!$F:$G, 2, FALSE)), "")</f>
        <v>FlowArt: Mini Single - Enchanted Magic</v>
      </c>
      <c r="E152">
        <v>6</v>
      </c>
      <c r="F152" s="2">
        <f>IF(IF(RIGHT($A152,5)="FA160", ROUND(IFERROR(IFERROR(VLOOKUP($C152, [1]SBOM!$F:$P, 11, FALSE),VLOOKUP(VALUE($C152), [1]SBOM!$F:$P, 11, FALSE)), 0), 2)-1.5, ROUND(IFERROR(IFERROR(VLOOKUP($C152, [1]SBOM!$F:$P, 11, FALSE),VLOOKUP(VALUE($C152), [1]SBOM!$F:$P, 11, FALSE)), 0), 2))&lt;0, 0, IF(RIGHT($A152,5)="FA160", ROUND(IFERROR(IFERROR(VLOOKUP($C152, [1]SBOM!$F:$P, 11, FALSE),VLOOKUP(VALUE($C152), [1]SBOM!$F:$P, 11, FALSE)), 0), 2)-1.5, ROUND(IFERROR(IFERROR(VLOOKUP($C152, [1]SBOM!$F:$P, 11, FALSE),VLOOKUP(VALUE($C152), [1]SBOM!$F:$P, 11, FALSE)), 0), 2)))</f>
        <v>3.5</v>
      </c>
    </row>
    <row r="153" spans="1:6">
      <c r="A153" t="s">
        <v>14</v>
      </c>
      <c r="B153">
        <f t="shared" si="2"/>
        <v>4</v>
      </c>
      <c r="C153" s="1" t="s">
        <v>12</v>
      </c>
      <c r="D153" t="str">
        <f>IFERROR(IFERROR(VLOOKUP($C153, [1]SBOM!$F:$G, 2, FALSE), VLOOKUP(VALUE($C153), [1]SBOM!$F:$G, 2, FALSE)), "")</f>
        <v>FlowArt: Mini Single - Nature's Wonders</v>
      </c>
      <c r="E153">
        <v>12</v>
      </c>
      <c r="F153" s="2">
        <f>IF(IF(RIGHT($A153,5)="FA160", ROUND(IFERROR(IFERROR(VLOOKUP($C153, [1]SBOM!$F:$P, 11, FALSE),VLOOKUP(VALUE($C153), [1]SBOM!$F:$P, 11, FALSE)), 0), 2)-1.5, ROUND(IFERROR(IFERROR(VLOOKUP($C153, [1]SBOM!$F:$P, 11, FALSE),VLOOKUP(VALUE($C153), [1]SBOM!$F:$P, 11, FALSE)), 0), 2))&lt;0, 0, IF(RIGHT($A153,5)="FA160", ROUND(IFERROR(IFERROR(VLOOKUP($C153, [1]SBOM!$F:$P, 11, FALSE),VLOOKUP(VALUE($C153), [1]SBOM!$F:$P, 11, FALSE)), 0), 2)-1.5, ROUND(IFERROR(IFERROR(VLOOKUP($C153, [1]SBOM!$F:$P, 11, FALSE),VLOOKUP(VALUE($C153), [1]SBOM!$F:$P, 11, FALSE)), 0), 2)))</f>
        <v>3.5</v>
      </c>
    </row>
    <row r="154" spans="1:6">
      <c r="A154" t="s">
        <v>14</v>
      </c>
      <c r="B154">
        <f t="shared" si="2"/>
        <v>5</v>
      </c>
      <c r="C154" s="1" t="s">
        <v>11</v>
      </c>
      <c r="D154" t="str">
        <f>IFERROR(IFERROR(VLOOKUP($C154, [1]SBOM!$F:$G, 2, FALSE), VLOOKUP(VALUE($C154), [1]SBOM!$F:$G, 2, FALSE)), "")</f>
        <v>FlowArt: Mini Single - Pretty Petals</v>
      </c>
      <c r="E154">
        <v>12</v>
      </c>
      <c r="F154" s="2">
        <f>IF(IF(RIGHT($A154,5)="FA160", ROUND(IFERROR(IFERROR(VLOOKUP($C154, [1]SBOM!$F:$P, 11, FALSE),VLOOKUP(VALUE($C154), [1]SBOM!$F:$P, 11, FALSE)), 0), 2)-1.5, ROUND(IFERROR(IFERROR(VLOOKUP($C154, [1]SBOM!$F:$P, 11, FALSE),VLOOKUP(VALUE($C154), [1]SBOM!$F:$P, 11, FALSE)), 0), 2))&lt;0, 0, IF(RIGHT($A154,5)="FA160", ROUND(IFERROR(IFERROR(VLOOKUP($C154, [1]SBOM!$F:$P, 11, FALSE),VLOOKUP(VALUE($C154), [1]SBOM!$F:$P, 11, FALSE)), 0), 2)-1.5, ROUND(IFERROR(IFERROR(VLOOKUP($C154, [1]SBOM!$F:$P, 11, FALSE),VLOOKUP(VALUE($C154), [1]SBOM!$F:$P, 11, FALSE)), 0), 2)))</f>
        <v>3.5</v>
      </c>
    </row>
    <row r="155" spans="1:6">
      <c r="A155" t="s">
        <v>14</v>
      </c>
      <c r="B155">
        <f t="shared" si="2"/>
        <v>6</v>
      </c>
      <c r="C155" s="1" t="s">
        <v>13</v>
      </c>
      <c r="D155" t="str">
        <f>IFERROR(IFERROR(VLOOKUP($C155, [1]SBOM!$F:$G, 2, FALSE), VLOOKUP(VALUE($C155), [1]SBOM!$F:$G, 2, FALSE)), "")</f>
        <v>FlowArt: Mini Single - Furry Friends</v>
      </c>
      <c r="E155">
        <v>12</v>
      </c>
      <c r="F155" s="2">
        <f>IF(IF(RIGHT($A155,5)="FA160", ROUND(IFERROR(IFERROR(VLOOKUP($C155, [1]SBOM!$F:$P, 11, FALSE),VLOOKUP(VALUE($C155), [1]SBOM!$F:$P, 11, FALSE)), 0), 2)-1.5, ROUND(IFERROR(IFERROR(VLOOKUP($C155, [1]SBOM!$F:$P, 11, FALSE),VLOOKUP(VALUE($C155), [1]SBOM!$F:$P, 11, FALSE)), 0), 2))&lt;0, 0, IF(RIGHT($A155,5)="FA160", ROUND(IFERROR(IFERROR(VLOOKUP($C155, [1]SBOM!$F:$P, 11, FALSE),VLOOKUP(VALUE($C155), [1]SBOM!$F:$P, 11, FALSE)), 0), 2)-1.5, ROUND(IFERROR(IFERROR(VLOOKUP($C155, [1]SBOM!$F:$P, 11, FALSE),VLOOKUP(VALUE($C155), [1]SBOM!$F:$P, 11, FALSE)), 0), 2)))</f>
        <v>3.5</v>
      </c>
    </row>
    <row r="156" spans="1:6">
      <c r="A156" t="s">
        <v>72</v>
      </c>
      <c r="B156">
        <f t="shared" si="2"/>
        <v>1</v>
      </c>
      <c r="C156" s="1" t="s">
        <v>9</v>
      </c>
      <c r="D156" t="str">
        <f>IFERROR(IFERROR(VLOOKUP($C156, [1]SBOM!$F:$G, 2, FALSE), VLOOKUP(VALUE($C156), [1]SBOM!$F:$G, 2, FALSE)), "")</f>
        <v>FlowArt: Mini Single - Café Comforts</v>
      </c>
      <c r="E156">
        <v>6</v>
      </c>
      <c r="F156" s="2">
        <f>IF(IF(RIGHT($A156,5)="FA160", ROUND(IFERROR(IFERROR(VLOOKUP($C156, [1]SBOM!$F:$P, 11, FALSE),VLOOKUP(VALUE($C156), [1]SBOM!$F:$P, 11, FALSE)), 0), 2)-1.5, ROUND(IFERROR(IFERROR(VLOOKUP($C156, [1]SBOM!$F:$P, 11, FALSE),VLOOKUP(VALUE($C156), [1]SBOM!$F:$P, 11, FALSE)), 0), 2))&lt;0, 0, IF(RIGHT($A156,5)="FA160", ROUND(IFERROR(IFERROR(VLOOKUP($C156, [1]SBOM!$F:$P, 11, FALSE),VLOOKUP(VALUE($C156), [1]SBOM!$F:$P, 11, FALSE)), 0), 2)-1.5, ROUND(IFERROR(IFERROR(VLOOKUP($C156, [1]SBOM!$F:$P, 11, FALSE),VLOOKUP(VALUE($C156), [1]SBOM!$F:$P, 11, FALSE)), 0), 2)))</f>
        <v>3.5</v>
      </c>
    </row>
    <row r="157" spans="1:6">
      <c r="A157" t="s">
        <v>72</v>
      </c>
      <c r="B157">
        <f t="shared" si="2"/>
        <v>2</v>
      </c>
      <c r="C157" s="1" t="s">
        <v>29</v>
      </c>
      <c r="D157" t="str">
        <f>IFERROR(IFERROR(VLOOKUP($C157, [1]SBOM!$F:$G, 2, FALSE), VLOOKUP(VALUE($C157), [1]SBOM!$F:$G, 2, FALSE)), "")</f>
        <v>FlowArt: Dot-By-Letter, Into the Galaxy [Metallic ink]</v>
      </c>
      <c r="E157">
        <v>4</v>
      </c>
      <c r="F157" s="2">
        <f>IF(IF(RIGHT($A157,5)="FA160", ROUND(IFERROR(IFERROR(VLOOKUP($C157, [1]SBOM!$F:$P, 11, FALSE),VLOOKUP(VALUE($C157), [1]SBOM!$F:$P, 11, FALSE)), 0), 2)-1.5, ROUND(IFERROR(IFERROR(VLOOKUP($C157, [1]SBOM!$F:$P, 11, FALSE),VLOOKUP(VALUE($C157), [1]SBOM!$F:$P, 11, FALSE)), 0), 2))&lt;0, 0, IF(RIGHT($A157,5)="FA160", ROUND(IFERROR(IFERROR(VLOOKUP($C157, [1]SBOM!$F:$P, 11, FALSE),VLOOKUP(VALUE($C157), [1]SBOM!$F:$P, 11, FALSE)), 0), 2)-1.5, ROUND(IFERROR(IFERROR(VLOOKUP($C157, [1]SBOM!$F:$P, 11, FALSE),VLOOKUP(VALUE($C157), [1]SBOM!$F:$P, 11, FALSE)), 0), 2)))</f>
        <v>6.5</v>
      </c>
    </row>
    <row r="158" spans="1:6">
      <c r="A158" t="s">
        <v>72</v>
      </c>
      <c r="B158">
        <f t="shared" si="2"/>
        <v>3</v>
      </c>
      <c r="C158" s="1" t="s">
        <v>16</v>
      </c>
      <c r="D158" t="str">
        <f>IFERROR(IFERROR(VLOOKUP($C158, [1]SBOM!$F:$G, 2, FALSE), VLOOKUP(VALUE($C158), [1]SBOM!$F:$G, 2, FALSE)), "")</f>
        <v>FlowArt: Dot-By-Letter, Cozy Cottage</v>
      </c>
      <c r="E158">
        <v>4</v>
      </c>
      <c r="F158" s="2">
        <f>IF(IF(RIGHT($A158,5)="FA160", ROUND(IFERROR(IFERROR(VLOOKUP($C158, [1]SBOM!$F:$P, 11, FALSE),VLOOKUP(VALUE($C158), [1]SBOM!$F:$P, 11, FALSE)), 0), 2)-1.5, ROUND(IFERROR(IFERROR(VLOOKUP($C158, [1]SBOM!$F:$P, 11, FALSE),VLOOKUP(VALUE($C158), [1]SBOM!$F:$P, 11, FALSE)), 0), 2))&lt;0, 0, IF(RIGHT($A158,5)="FA160", ROUND(IFERROR(IFERROR(VLOOKUP($C158, [1]SBOM!$F:$P, 11, FALSE),VLOOKUP(VALUE($C158), [1]SBOM!$F:$P, 11, FALSE)), 0), 2)-1.5, ROUND(IFERROR(IFERROR(VLOOKUP($C158, [1]SBOM!$F:$P, 11, FALSE),VLOOKUP(VALUE($C158), [1]SBOM!$F:$P, 11, FALSE)), 0), 2)))</f>
        <v>6.5</v>
      </c>
    </row>
    <row r="159" spans="1:6">
      <c r="A159" t="s">
        <v>72</v>
      </c>
      <c r="B159">
        <f t="shared" si="2"/>
        <v>4</v>
      </c>
      <c r="C159" s="1" t="s">
        <v>49</v>
      </c>
      <c r="D159" t="str">
        <f>IFERROR(IFERROR(VLOOKUP($C159, [1]SBOM!$F:$G, 2, FALSE), VLOOKUP(VALUE($C159), [1]SBOM!$F:$G, 2, FALSE)), "")</f>
        <v>FlowArt: Dot-By-Letter, Wags &amp; Whiskers</v>
      </c>
      <c r="E159">
        <v>4</v>
      </c>
      <c r="F159" s="2">
        <f>IF(IF(RIGHT($A159,5)="FA160", ROUND(IFERROR(IFERROR(VLOOKUP($C159, [1]SBOM!$F:$P, 11, FALSE),VLOOKUP(VALUE($C159), [1]SBOM!$F:$P, 11, FALSE)), 0), 2)-1.5, ROUND(IFERROR(IFERROR(VLOOKUP($C159, [1]SBOM!$F:$P, 11, FALSE),VLOOKUP(VALUE($C159), [1]SBOM!$F:$P, 11, FALSE)), 0), 2))&lt;0, 0, IF(RIGHT($A159,5)="FA160", ROUND(IFERROR(IFERROR(VLOOKUP($C159, [1]SBOM!$F:$P, 11, FALSE),VLOOKUP(VALUE($C159), [1]SBOM!$F:$P, 11, FALSE)), 0), 2)-1.5, ROUND(IFERROR(IFERROR(VLOOKUP($C159, [1]SBOM!$F:$P, 11, FALSE),VLOOKUP(VALUE($C159), [1]SBOM!$F:$P, 11, FALSE)), 0), 2)))</f>
        <v>6.5</v>
      </c>
    </row>
    <row r="160" spans="1:6">
      <c r="A160" t="s">
        <v>72</v>
      </c>
      <c r="B160">
        <f t="shared" si="2"/>
        <v>5</v>
      </c>
      <c r="C160" s="1" t="s">
        <v>71</v>
      </c>
      <c r="D160" t="str">
        <f>IFERROR(IFERROR(VLOOKUP($C160, [1]SBOM!$F:$G, 2, FALSE), VLOOKUP(VALUE($C160), [1]SBOM!$F:$G, 2, FALSE)), "")</f>
        <v>FlowArt: Color-to-Reveal, Animals</v>
      </c>
      <c r="E160">
        <v>4</v>
      </c>
      <c r="F160" s="2">
        <f>IF(IF(RIGHT($A160,5)="FA160", ROUND(IFERROR(IFERROR(VLOOKUP($C160, [1]SBOM!$F:$P, 11, FALSE),VLOOKUP(VALUE($C160), [1]SBOM!$F:$P, 11, FALSE)), 0), 2)-1.5, ROUND(IFERROR(IFERROR(VLOOKUP($C160, [1]SBOM!$F:$P, 11, FALSE),VLOOKUP(VALUE($C160), [1]SBOM!$F:$P, 11, FALSE)), 0), 2))&lt;0, 0, IF(RIGHT($A160,5)="FA160", ROUND(IFERROR(IFERROR(VLOOKUP($C160, [1]SBOM!$F:$P, 11, FALSE),VLOOKUP(VALUE($C160), [1]SBOM!$F:$P, 11, FALSE)), 0), 2)-1.5, ROUND(IFERROR(IFERROR(VLOOKUP($C160, [1]SBOM!$F:$P, 11, FALSE),VLOOKUP(VALUE($C160), [1]SBOM!$F:$P, 11, FALSE)), 0), 2)))</f>
        <v>6.5</v>
      </c>
    </row>
    <row r="161" spans="1:6">
      <c r="A161" t="s">
        <v>72</v>
      </c>
      <c r="B161">
        <f t="shared" si="2"/>
        <v>6</v>
      </c>
      <c r="C161" s="1" t="s">
        <v>30</v>
      </c>
      <c r="D161" t="str">
        <f>IFERROR(IFERROR(VLOOKUP($C161, [1]SBOM!$F:$G, 2, FALSE), VLOOKUP(VALUE($C161), [1]SBOM!$F:$G, 2, FALSE)), "")</f>
        <v>FlowArt: Dot-By-Letter, Into the Deep [Metallic ink]</v>
      </c>
      <c r="E161">
        <v>4</v>
      </c>
      <c r="F161" s="2">
        <f>IF(IF(RIGHT($A161,5)="FA160", ROUND(IFERROR(IFERROR(VLOOKUP($C161, [1]SBOM!$F:$P, 11, FALSE),VLOOKUP(VALUE($C161), [1]SBOM!$F:$P, 11, FALSE)), 0), 2)-1.5, ROUND(IFERROR(IFERROR(VLOOKUP($C161, [1]SBOM!$F:$P, 11, FALSE),VLOOKUP(VALUE($C161), [1]SBOM!$F:$P, 11, FALSE)), 0), 2))&lt;0, 0, IF(RIGHT($A161,5)="FA160", ROUND(IFERROR(IFERROR(VLOOKUP($C161, [1]SBOM!$F:$P, 11, FALSE),VLOOKUP(VALUE($C161), [1]SBOM!$F:$P, 11, FALSE)), 0), 2)-1.5, ROUND(IFERROR(IFERROR(VLOOKUP($C161, [1]SBOM!$F:$P, 11, FALSE),VLOOKUP(VALUE($C161), [1]SBOM!$F:$P, 11, FALSE)), 0), 2)))</f>
        <v>6.5</v>
      </c>
    </row>
    <row r="162" spans="1:6">
      <c r="A162" t="s">
        <v>72</v>
      </c>
      <c r="B162">
        <f t="shared" si="2"/>
        <v>7</v>
      </c>
      <c r="C162" s="1" t="s">
        <v>22</v>
      </c>
      <c r="D162" t="str">
        <f>IFERROR(IFERROR(VLOOKUP($C162, [1]SBOM!$F:$G, 2, FALSE), VLOOKUP(VALUE($C162), [1]SBOM!$F:$G, 2, FALSE)), "")</f>
        <v>FlowArt: Dot-By-Letter, Pumpkins &amp; Pastures</v>
      </c>
      <c r="E162">
        <v>4</v>
      </c>
      <c r="F162" s="2">
        <f>IF(IF(RIGHT($A162,5)="FA160", ROUND(IFERROR(IFERROR(VLOOKUP($C162, [1]SBOM!$F:$P, 11, FALSE),VLOOKUP(VALUE($C162), [1]SBOM!$F:$P, 11, FALSE)), 0), 2)-1.5, ROUND(IFERROR(IFERROR(VLOOKUP($C162, [1]SBOM!$F:$P, 11, FALSE),VLOOKUP(VALUE($C162), [1]SBOM!$F:$P, 11, FALSE)), 0), 2))&lt;0, 0, IF(RIGHT($A162,5)="FA160", ROUND(IFERROR(IFERROR(VLOOKUP($C162, [1]SBOM!$F:$P, 11, FALSE),VLOOKUP(VALUE($C162), [1]SBOM!$F:$P, 11, FALSE)), 0), 2)-1.5, ROUND(IFERROR(IFERROR(VLOOKUP($C162, [1]SBOM!$F:$P, 11, FALSE),VLOOKUP(VALUE($C162), [1]SBOM!$F:$P, 11, FALSE)), 0), 2)))</f>
        <v>6.5</v>
      </c>
    </row>
    <row r="163" spans="1:6">
      <c r="A163" t="s">
        <v>72</v>
      </c>
      <c r="B163">
        <f t="shared" si="2"/>
        <v>8</v>
      </c>
      <c r="C163" s="1" t="s">
        <v>24</v>
      </c>
      <c r="D163" t="str">
        <f>IFERROR(IFERROR(VLOOKUP($C163, [1]SBOM!$F:$G, 2, FALSE), VLOOKUP(VALUE($C163), [1]SBOM!$F:$G, 2, FALSE)), "")</f>
        <v>FlowArt: Dot-By-Letter, Sweater Weather [2026]</v>
      </c>
      <c r="E163">
        <v>4</v>
      </c>
      <c r="F163" s="2">
        <f>IF(IF(RIGHT($A163,5)="FA160", ROUND(IFERROR(IFERROR(VLOOKUP($C163, [1]SBOM!$F:$P, 11, FALSE),VLOOKUP(VALUE($C163), [1]SBOM!$F:$P, 11, FALSE)), 0), 2)-1.5, ROUND(IFERROR(IFERROR(VLOOKUP($C163, [1]SBOM!$F:$P, 11, FALSE),VLOOKUP(VALUE($C163), [1]SBOM!$F:$P, 11, FALSE)), 0), 2))&lt;0, 0, IF(RIGHT($A163,5)="FA160", ROUND(IFERROR(IFERROR(VLOOKUP($C163, [1]SBOM!$F:$P, 11, FALSE),VLOOKUP(VALUE($C163), [1]SBOM!$F:$P, 11, FALSE)), 0), 2)-1.5, ROUND(IFERROR(IFERROR(VLOOKUP($C163, [1]SBOM!$F:$P, 11, FALSE),VLOOKUP(VALUE($C163), [1]SBOM!$F:$P, 11, FALSE)), 0), 2)))</f>
        <v>6.5</v>
      </c>
    </row>
    <row r="164" spans="1:6">
      <c r="A164" t="s">
        <v>72</v>
      </c>
      <c r="B164">
        <f t="shared" si="2"/>
        <v>9</v>
      </c>
      <c r="C164" s="1" t="s">
        <v>68</v>
      </c>
      <c r="D164" t="str">
        <f>IFERROR(IFERROR(VLOOKUP($C164, [1]SBOM!$F:$G, 2, FALSE), VLOOKUP(VALUE($C164), [1]SBOM!$F:$G, 2, FALSE)), "")</f>
        <v>FlowArt: Dot-By-Letter, Majestic Earth [Metallic ink]</v>
      </c>
      <c r="E164">
        <v>4</v>
      </c>
      <c r="F164" s="2">
        <f>IF(IF(RIGHT($A164,5)="FA160", ROUND(IFERROR(IFERROR(VLOOKUP($C164, [1]SBOM!$F:$P, 11, FALSE),VLOOKUP(VALUE($C164), [1]SBOM!$F:$P, 11, FALSE)), 0), 2)-1.5, ROUND(IFERROR(IFERROR(VLOOKUP($C164, [1]SBOM!$F:$P, 11, FALSE),VLOOKUP(VALUE($C164), [1]SBOM!$F:$P, 11, FALSE)), 0), 2))&lt;0, 0, IF(RIGHT($A164,5)="FA160", ROUND(IFERROR(IFERROR(VLOOKUP($C164, [1]SBOM!$F:$P, 11, FALSE),VLOOKUP(VALUE($C164), [1]SBOM!$F:$P, 11, FALSE)), 0), 2)-1.5, ROUND(IFERROR(IFERROR(VLOOKUP($C164, [1]SBOM!$F:$P, 11, FALSE),VLOOKUP(VALUE($C164), [1]SBOM!$F:$P, 11, FALSE)), 0), 2)))</f>
        <v>6.5</v>
      </c>
    </row>
    <row r="165" spans="1:6">
      <c r="A165" t="s">
        <v>72</v>
      </c>
      <c r="B165">
        <f t="shared" si="2"/>
        <v>10</v>
      </c>
      <c r="C165" s="1" t="s">
        <v>13</v>
      </c>
      <c r="D165" t="str">
        <f>IFERROR(IFERROR(VLOOKUP($C165, [1]SBOM!$F:$G, 2, FALSE), VLOOKUP(VALUE($C165), [1]SBOM!$F:$G, 2, FALSE)), "")</f>
        <v>FlowArt: Mini Single - Furry Friends</v>
      </c>
      <c r="E165">
        <v>6</v>
      </c>
      <c r="F165" s="2">
        <f>IF(IF(RIGHT($A165,5)="FA160", ROUND(IFERROR(IFERROR(VLOOKUP($C165, [1]SBOM!$F:$P, 11, FALSE),VLOOKUP(VALUE($C165), [1]SBOM!$F:$P, 11, FALSE)), 0), 2)-1.5, ROUND(IFERROR(IFERROR(VLOOKUP($C165, [1]SBOM!$F:$P, 11, FALSE),VLOOKUP(VALUE($C165), [1]SBOM!$F:$P, 11, FALSE)), 0), 2))&lt;0, 0, IF(RIGHT($A165,5)="FA160", ROUND(IFERROR(IFERROR(VLOOKUP($C165, [1]SBOM!$F:$P, 11, FALSE),VLOOKUP(VALUE($C165), [1]SBOM!$F:$P, 11, FALSE)), 0), 2)-1.5, ROUND(IFERROR(IFERROR(VLOOKUP($C165, [1]SBOM!$F:$P, 11, FALSE),VLOOKUP(VALUE($C165), [1]SBOM!$F:$P, 11, FALSE)), 0), 2)))</f>
        <v>3.5</v>
      </c>
    </row>
    <row r="166" spans="1:6">
      <c r="A166" t="s">
        <v>72</v>
      </c>
      <c r="B166">
        <f t="shared" si="2"/>
        <v>11</v>
      </c>
      <c r="C166" s="1" t="s">
        <v>59</v>
      </c>
      <c r="D166" t="str">
        <f>IFERROR(IFERROR(VLOOKUP($C166, [1]SBOM!$F:$G, 2, FALSE), VLOOKUP(VALUE($C166), [1]SBOM!$F:$G, 2, FALSE)), "")</f>
        <v>FlowArt: Color-to-Reveal, Fall is in the Air [Scented]</v>
      </c>
      <c r="E166">
        <v>4</v>
      </c>
      <c r="F166" s="2">
        <f>IF(IF(RIGHT($A166,5)="FA160", ROUND(IFERROR(IFERROR(VLOOKUP($C166, [1]SBOM!$F:$P, 11, FALSE),VLOOKUP(VALUE($C166), [1]SBOM!$F:$P, 11, FALSE)), 0), 2)-1.5, ROUND(IFERROR(IFERROR(VLOOKUP($C166, [1]SBOM!$F:$P, 11, FALSE),VLOOKUP(VALUE($C166), [1]SBOM!$F:$P, 11, FALSE)), 0), 2))&lt;0, 0, IF(RIGHT($A166,5)="FA160", ROUND(IFERROR(IFERROR(VLOOKUP($C166, [1]SBOM!$F:$P, 11, FALSE),VLOOKUP(VALUE($C166), [1]SBOM!$F:$P, 11, FALSE)), 0), 2)-1.5, ROUND(IFERROR(IFERROR(VLOOKUP($C166, [1]SBOM!$F:$P, 11, FALSE),VLOOKUP(VALUE($C166), [1]SBOM!$F:$P, 11, FALSE)), 0), 2)))</f>
        <v>6.5</v>
      </c>
    </row>
    <row r="167" spans="1:6">
      <c r="A167" t="s">
        <v>72</v>
      </c>
      <c r="B167">
        <f t="shared" si="2"/>
        <v>12</v>
      </c>
      <c r="C167" s="1" t="s">
        <v>10</v>
      </c>
      <c r="D167" t="str">
        <f>IFERROR(IFERROR(VLOOKUP($C167, [1]SBOM!$F:$G, 2, FALSE), VLOOKUP(VALUE($C167), [1]SBOM!$F:$G, 2, FALSE)), "")</f>
        <v>FlowArt: Mini Single - Enchanted Magic</v>
      </c>
      <c r="E167">
        <v>6</v>
      </c>
      <c r="F167" s="2">
        <f>IF(IF(RIGHT($A167,5)="FA160", ROUND(IFERROR(IFERROR(VLOOKUP($C167, [1]SBOM!$F:$P, 11, FALSE),VLOOKUP(VALUE($C167), [1]SBOM!$F:$P, 11, FALSE)), 0), 2)-1.5, ROUND(IFERROR(IFERROR(VLOOKUP($C167, [1]SBOM!$F:$P, 11, FALSE),VLOOKUP(VALUE($C167), [1]SBOM!$F:$P, 11, FALSE)), 0), 2))&lt;0, 0, IF(RIGHT($A167,5)="FA160", ROUND(IFERROR(IFERROR(VLOOKUP($C167, [1]SBOM!$F:$P, 11, FALSE),VLOOKUP(VALUE($C167), [1]SBOM!$F:$P, 11, FALSE)), 0), 2)-1.5, ROUND(IFERROR(IFERROR(VLOOKUP($C167, [1]SBOM!$F:$P, 11, FALSE),VLOOKUP(VALUE($C167), [1]SBOM!$F:$P, 11, FALSE)), 0), 2)))</f>
        <v>3.5</v>
      </c>
    </row>
    <row r="168" spans="1:6">
      <c r="A168" t="s">
        <v>72</v>
      </c>
      <c r="B168">
        <f t="shared" si="2"/>
        <v>13</v>
      </c>
      <c r="C168" s="1" t="s">
        <v>67</v>
      </c>
      <c r="D168" t="str">
        <f>IFERROR(IFERROR(VLOOKUP($C168, [1]SBOM!$F:$G, 2, FALSE), VLOOKUP(VALUE($C168), [1]SBOM!$F:$G, 2, FALSE)), "")</f>
        <v>FlowArt: Dot-By-Letter, Moonlit Garden [Metallic ink]</v>
      </c>
      <c r="E168">
        <v>4</v>
      </c>
      <c r="F168" s="2">
        <f>IF(IF(RIGHT($A168,5)="FA160", ROUND(IFERROR(IFERROR(VLOOKUP($C168, [1]SBOM!$F:$P, 11, FALSE),VLOOKUP(VALUE($C168), [1]SBOM!$F:$P, 11, FALSE)), 0), 2)-1.5, ROUND(IFERROR(IFERROR(VLOOKUP($C168, [1]SBOM!$F:$P, 11, FALSE),VLOOKUP(VALUE($C168), [1]SBOM!$F:$P, 11, FALSE)), 0), 2))&lt;0, 0, IF(RIGHT($A168,5)="FA160", ROUND(IFERROR(IFERROR(VLOOKUP($C168, [1]SBOM!$F:$P, 11, FALSE),VLOOKUP(VALUE($C168), [1]SBOM!$F:$P, 11, FALSE)), 0), 2)-1.5, ROUND(IFERROR(IFERROR(VLOOKUP($C168, [1]SBOM!$F:$P, 11, FALSE),VLOOKUP(VALUE($C168), [1]SBOM!$F:$P, 11, FALSE)), 0), 2)))</f>
        <v>6.5</v>
      </c>
    </row>
    <row r="169" spans="1:6">
      <c r="A169" t="s">
        <v>72</v>
      </c>
      <c r="B169">
        <f t="shared" si="2"/>
        <v>14</v>
      </c>
      <c r="C169" s="1" t="s">
        <v>12</v>
      </c>
      <c r="D169" t="str">
        <f>IFERROR(IFERROR(VLOOKUP($C169, [1]SBOM!$F:$G, 2, FALSE), VLOOKUP(VALUE($C169), [1]SBOM!$F:$G, 2, FALSE)), "")</f>
        <v>FlowArt: Mini Single - Nature's Wonders</v>
      </c>
      <c r="E169">
        <v>12</v>
      </c>
      <c r="F169" s="2">
        <f>IF(IF(RIGHT($A169,5)="FA160", ROUND(IFERROR(IFERROR(VLOOKUP($C169, [1]SBOM!$F:$P, 11, FALSE),VLOOKUP(VALUE($C169), [1]SBOM!$F:$P, 11, FALSE)), 0), 2)-1.5, ROUND(IFERROR(IFERROR(VLOOKUP($C169, [1]SBOM!$F:$P, 11, FALSE),VLOOKUP(VALUE($C169), [1]SBOM!$F:$P, 11, FALSE)), 0), 2))&lt;0, 0, IF(RIGHT($A169,5)="FA160", ROUND(IFERROR(IFERROR(VLOOKUP($C169, [1]SBOM!$F:$P, 11, FALSE),VLOOKUP(VALUE($C169), [1]SBOM!$F:$P, 11, FALSE)), 0), 2)-1.5, ROUND(IFERROR(IFERROR(VLOOKUP($C169, [1]SBOM!$F:$P, 11, FALSE),VLOOKUP(VALUE($C169), [1]SBOM!$F:$P, 11, FALSE)), 0), 2)))</f>
        <v>3.5</v>
      </c>
    </row>
    <row r="170" spans="1:6">
      <c r="A170" t="s">
        <v>72</v>
      </c>
      <c r="B170">
        <f t="shared" si="2"/>
        <v>15</v>
      </c>
      <c r="C170" s="1" t="s">
        <v>11</v>
      </c>
      <c r="D170" t="str">
        <f>IFERROR(IFERROR(VLOOKUP($C170, [1]SBOM!$F:$G, 2, FALSE), VLOOKUP(VALUE($C170), [1]SBOM!$F:$G, 2, FALSE)), "")</f>
        <v>FlowArt: Mini Single - Pretty Petals</v>
      </c>
      <c r="E170">
        <v>12</v>
      </c>
      <c r="F170" s="2">
        <f>IF(IF(RIGHT($A170,5)="FA160", ROUND(IFERROR(IFERROR(VLOOKUP($C170, [1]SBOM!$F:$P, 11, FALSE),VLOOKUP(VALUE($C170), [1]SBOM!$F:$P, 11, FALSE)), 0), 2)-1.5, ROUND(IFERROR(IFERROR(VLOOKUP($C170, [1]SBOM!$F:$P, 11, FALSE),VLOOKUP(VALUE($C170), [1]SBOM!$F:$P, 11, FALSE)), 0), 2))&lt;0, 0, IF(RIGHT($A170,5)="FA160", ROUND(IFERROR(IFERROR(VLOOKUP($C170, [1]SBOM!$F:$P, 11, FALSE),VLOOKUP(VALUE($C170), [1]SBOM!$F:$P, 11, FALSE)), 0), 2)-1.5, ROUND(IFERROR(IFERROR(VLOOKUP($C170, [1]SBOM!$F:$P, 11, FALSE),VLOOKUP(VALUE($C170), [1]SBOM!$F:$P, 11, FALSE)), 0), 2)))</f>
        <v>3.5</v>
      </c>
    </row>
    <row r="171" spans="1:6">
      <c r="A171" t="s">
        <v>72</v>
      </c>
      <c r="B171">
        <f t="shared" si="2"/>
        <v>16</v>
      </c>
      <c r="C171" s="1" t="s">
        <v>69</v>
      </c>
      <c r="D171" t="str">
        <f>IFERROR(IFERROR(VLOOKUP($C171, [1]SBOM!$F:$G, 2, FALSE), VLOOKUP(VALUE($C171), [1]SBOM!$F:$G, 2, FALSE)), "")</f>
        <v>FlowArt: Dot-By-Letter, Everyday Inspiration</v>
      </c>
      <c r="E171">
        <v>4</v>
      </c>
      <c r="F171" s="2">
        <f>IF(IF(RIGHT($A171,5)="FA160", ROUND(IFERROR(IFERROR(VLOOKUP($C171, [1]SBOM!$F:$P, 11, FALSE),VLOOKUP(VALUE($C171), [1]SBOM!$F:$P, 11, FALSE)), 0), 2)-1.5, ROUND(IFERROR(IFERROR(VLOOKUP($C171, [1]SBOM!$F:$P, 11, FALSE),VLOOKUP(VALUE($C171), [1]SBOM!$F:$P, 11, FALSE)), 0), 2))&lt;0, 0, IF(RIGHT($A171,5)="FA160", ROUND(IFERROR(IFERROR(VLOOKUP($C171, [1]SBOM!$F:$P, 11, FALSE),VLOOKUP(VALUE($C171), [1]SBOM!$F:$P, 11, FALSE)), 0), 2)-1.5, ROUND(IFERROR(IFERROR(VLOOKUP($C171, [1]SBOM!$F:$P, 11, FALSE),VLOOKUP(VALUE($C171), [1]SBOM!$F:$P, 11, FALSE)), 0), 2)))</f>
        <v>6.5</v>
      </c>
    </row>
    <row r="172" spans="1:6">
      <c r="A172" t="s">
        <v>72</v>
      </c>
      <c r="B172">
        <f t="shared" si="2"/>
        <v>17</v>
      </c>
      <c r="C172" s="1" t="s">
        <v>8</v>
      </c>
      <c r="D172" t="str">
        <f>IFERROR(IFERROR(VLOOKUP($C172, [1]SBOM!$F:$G, 2, FALSE), VLOOKUP(VALUE($C172), [1]SBOM!$F:$G, 2, FALSE)), "")</f>
        <v>FlowArt: Mini Single - Pocket Positivity</v>
      </c>
      <c r="E172">
        <v>6</v>
      </c>
      <c r="F172" s="2">
        <f>IF(IF(RIGHT($A172,5)="FA160", ROUND(IFERROR(IFERROR(VLOOKUP($C172, [1]SBOM!$F:$P, 11, FALSE),VLOOKUP(VALUE($C172), [1]SBOM!$F:$P, 11, FALSE)), 0), 2)-1.5, ROUND(IFERROR(IFERROR(VLOOKUP($C172, [1]SBOM!$F:$P, 11, FALSE),VLOOKUP(VALUE($C172), [1]SBOM!$F:$P, 11, FALSE)), 0), 2))&lt;0, 0, IF(RIGHT($A172,5)="FA160", ROUND(IFERROR(IFERROR(VLOOKUP($C172, [1]SBOM!$F:$P, 11, FALSE),VLOOKUP(VALUE($C172), [1]SBOM!$F:$P, 11, FALSE)), 0), 2)-1.5, ROUND(IFERROR(IFERROR(VLOOKUP($C172, [1]SBOM!$F:$P, 11, FALSE),VLOOKUP(VALUE($C172), [1]SBOM!$F:$P, 11, FALSE)), 0), 2)))</f>
        <v>3.5</v>
      </c>
    </row>
    <row r="173" spans="1:6">
      <c r="A173" t="s">
        <v>72</v>
      </c>
      <c r="B173">
        <f t="shared" si="2"/>
        <v>18</v>
      </c>
      <c r="C173" s="1" t="s">
        <v>51</v>
      </c>
      <c r="D173" t="str">
        <f>IFERROR(IFERROR(VLOOKUP($C173, [1]SBOM!$F:$G, 2, FALSE), VLOOKUP(VALUE($C173), [1]SBOM!$F:$G, 2, FALSE)), "")</f>
        <v>FlowArt: Color-to-Reveal, Citrus Coastlines</v>
      </c>
      <c r="E173">
        <v>4</v>
      </c>
      <c r="F173" s="2">
        <f>IF(IF(RIGHT($A173,5)="FA160", ROUND(IFERROR(IFERROR(VLOOKUP($C173, [1]SBOM!$F:$P, 11, FALSE),VLOOKUP(VALUE($C173), [1]SBOM!$F:$P, 11, FALSE)), 0), 2)-1.5, ROUND(IFERROR(IFERROR(VLOOKUP($C173, [1]SBOM!$F:$P, 11, FALSE),VLOOKUP(VALUE($C173), [1]SBOM!$F:$P, 11, FALSE)), 0), 2))&lt;0, 0, IF(RIGHT($A173,5)="FA160", ROUND(IFERROR(IFERROR(VLOOKUP($C173, [1]SBOM!$F:$P, 11, FALSE),VLOOKUP(VALUE($C173), [1]SBOM!$F:$P, 11, FALSE)), 0), 2)-1.5, ROUND(IFERROR(IFERROR(VLOOKUP($C173, [1]SBOM!$F:$P, 11, FALSE),VLOOKUP(VALUE($C173), [1]SBOM!$F:$P, 11, FALSE)), 0), 2)))</f>
        <v>6.5</v>
      </c>
    </row>
    <row r="174" spans="1:6">
      <c r="A174" t="s">
        <v>72</v>
      </c>
      <c r="B174">
        <f t="shared" si="2"/>
        <v>19</v>
      </c>
      <c r="C174" s="1" t="s">
        <v>52</v>
      </c>
      <c r="D174" t="str">
        <f>IFERROR(IFERROR(VLOOKUP($C174, [1]SBOM!$F:$G, 2, FALSE), VLOOKUP(VALUE($C174), [1]SBOM!$F:$G, 2, FALSE)), "")</f>
        <v>FlowArt: Trace-By-Line, Brunch in Bloom</v>
      </c>
      <c r="E174">
        <v>4</v>
      </c>
      <c r="F174" s="2">
        <f>IF(IF(RIGHT($A174,5)="FA160", ROUND(IFERROR(IFERROR(VLOOKUP($C174, [1]SBOM!$F:$P, 11, FALSE),VLOOKUP(VALUE($C174), [1]SBOM!$F:$P, 11, FALSE)), 0), 2)-1.5, ROUND(IFERROR(IFERROR(VLOOKUP($C174, [1]SBOM!$F:$P, 11, FALSE),VLOOKUP(VALUE($C174), [1]SBOM!$F:$P, 11, FALSE)), 0), 2))&lt;0, 0, IF(RIGHT($A174,5)="FA160", ROUND(IFERROR(IFERROR(VLOOKUP($C174, [1]SBOM!$F:$P, 11, FALSE),VLOOKUP(VALUE($C174), [1]SBOM!$F:$P, 11, FALSE)), 0), 2)-1.5, ROUND(IFERROR(IFERROR(VLOOKUP($C174, [1]SBOM!$F:$P, 11, FALSE),VLOOKUP(VALUE($C174), [1]SBOM!$F:$P, 11, FALSE)), 0), 2)))</f>
        <v>6.5</v>
      </c>
    </row>
    <row r="175" spans="1:6">
      <c r="A175" t="s">
        <v>62</v>
      </c>
      <c r="B175">
        <f t="shared" si="2"/>
        <v>1</v>
      </c>
      <c r="C175" s="1" t="s">
        <v>16</v>
      </c>
      <c r="D175" t="str">
        <f>IFERROR(IFERROR(VLOOKUP($C175, [1]SBOM!$F:$G, 2, FALSE), VLOOKUP(VALUE($C175), [1]SBOM!$F:$G, 2, FALSE)), "")</f>
        <v>FlowArt: Dot-By-Letter, Cozy Cottage</v>
      </c>
      <c r="E175">
        <v>1</v>
      </c>
      <c r="F175" s="2">
        <f>IF(IF(RIGHT($A175,5)="FA160", ROUND(IFERROR(IFERROR(VLOOKUP($C175, [1]SBOM!$F:$P, 11, FALSE),VLOOKUP(VALUE($C175), [1]SBOM!$F:$P, 11, FALSE)), 0), 2)-1.5, ROUND(IFERROR(IFERROR(VLOOKUP($C175, [1]SBOM!$F:$P, 11, FALSE),VLOOKUP(VALUE($C175), [1]SBOM!$F:$P, 11, FALSE)), 0), 2))&lt;0, 0, IF(RIGHT($A175,5)="FA160", ROUND(IFERROR(IFERROR(VLOOKUP($C175, [1]SBOM!$F:$P, 11, FALSE),VLOOKUP(VALUE($C175), [1]SBOM!$F:$P, 11, FALSE)), 0), 2)-1.5, ROUND(IFERROR(IFERROR(VLOOKUP($C175, [1]SBOM!$F:$P, 11, FALSE),VLOOKUP(VALUE($C175), [1]SBOM!$F:$P, 11, FALSE)), 0), 2)))</f>
        <v>6.5</v>
      </c>
    </row>
    <row r="176" spans="1:6">
      <c r="A176" t="s">
        <v>62</v>
      </c>
      <c r="B176">
        <f t="shared" si="2"/>
        <v>2</v>
      </c>
      <c r="C176" s="1" t="s">
        <v>70</v>
      </c>
      <c r="D176" t="str">
        <f>IFERROR(IFERROR(VLOOKUP($C176, [1]SBOM!$F:$G, 2, FALSE), VLOOKUP(VALUE($C176), [1]SBOM!$F:$G, 2, FALSE)), "")</f>
        <v>FlowArt: Dot-By-Letter, Botanicals</v>
      </c>
      <c r="E176">
        <v>1</v>
      </c>
      <c r="F176" s="2">
        <f>IF(IF(RIGHT($A176,5)="FA160", ROUND(IFERROR(IFERROR(VLOOKUP($C176, [1]SBOM!$F:$P, 11, FALSE),VLOOKUP(VALUE($C176), [1]SBOM!$F:$P, 11, FALSE)), 0), 2)-1.5, ROUND(IFERROR(IFERROR(VLOOKUP($C176, [1]SBOM!$F:$P, 11, FALSE),VLOOKUP(VALUE($C176), [1]SBOM!$F:$P, 11, FALSE)), 0), 2))&lt;0, 0, IF(RIGHT($A176,5)="FA160", ROUND(IFERROR(IFERROR(VLOOKUP($C176, [1]SBOM!$F:$P, 11, FALSE),VLOOKUP(VALUE($C176), [1]SBOM!$F:$P, 11, FALSE)), 0), 2)-1.5, ROUND(IFERROR(IFERROR(VLOOKUP($C176, [1]SBOM!$F:$P, 11, FALSE),VLOOKUP(VALUE($C176), [1]SBOM!$F:$P, 11, FALSE)), 0), 2)))</f>
        <v>6.5</v>
      </c>
    </row>
    <row r="177" spans="1:6">
      <c r="A177" t="s">
        <v>62</v>
      </c>
      <c r="B177">
        <f t="shared" si="2"/>
        <v>3</v>
      </c>
      <c r="C177" s="1" t="s">
        <v>29</v>
      </c>
      <c r="D177" t="str">
        <f>IFERROR(IFERROR(VLOOKUP($C177, [1]SBOM!$F:$G, 2, FALSE), VLOOKUP(VALUE($C177), [1]SBOM!$F:$G, 2, FALSE)), "")</f>
        <v>FlowArt: Dot-By-Letter, Into the Galaxy [Metallic ink]</v>
      </c>
      <c r="E177">
        <v>1</v>
      </c>
      <c r="F177" s="2">
        <f>IF(IF(RIGHT($A177,5)="FA160", ROUND(IFERROR(IFERROR(VLOOKUP($C177, [1]SBOM!$F:$P, 11, FALSE),VLOOKUP(VALUE($C177), [1]SBOM!$F:$P, 11, FALSE)), 0), 2)-1.5, ROUND(IFERROR(IFERROR(VLOOKUP($C177, [1]SBOM!$F:$P, 11, FALSE),VLOOKUP(VALUE($C177), [1]SBOM!$F:$P, 11, FALSE)), 0), 2))&lt;0, 0, IF(RIGHT($A177,5)="FA160", ROUND(IFERROR(IFERROR(VLOOKUP($C177, [1]SBOM!$F:$P, 11, FALSE),VLOOKUP(VALUE($C177), [1]SBOM!$F:$P, 11, FALSE)), 0), 2)-1.5, ROUND(IFERROR(IFERROR(VLOOKUP($C177, [1]SBOM!$F:$P, 11, FALSE),VLOOKUP(VALUE($C177), [1]SBOM!$F:$P, 11, FALSE)), 0), 2)))</f>
        <v>6.5</v>
      </c>
    </row>
  </sheetData>
  <mergeCells count="2">
    <mergeCell ref="A1:F1"/>
    <mergeCell ref="A2:F2"/>
  </mergeCells>
  <conditionalFormatting sqref="A29:XFD29 A5:XFD10 A13:XFD25 A119:XFD124 A126:XFD177 A59:B62 A31:XFD38 A41:XFD47 A49:XFD57 F59:XFD62 C59:E59 C62:E68 A70:XFD113 A65:B68 F65:XFD68">
    <cfRule type="expression" dxfId="16" priority="12">
      <formula>IF($A5&lt;&gt;$A6, TRUE, FALSE)</formula>
    </cfRule>
  </conditionalFormatting>
  <conditionalFormatting sqref="A58:XFD58">
    <cfRule type="expression" dxfId="15" priority="13">
      <formula>IF($A58&lt;&gt;#REF!, TRUE, FALSE)</formula>
    </cfRule>
  </conditionalFormatting>
  <conditionalFormatting sqref="A26:XFD26">
    <cfRule type="expression" dxfId="14" priority="39">
      <formula>IF($A26&lt;&gt;$A29, TRUE, FALSE)</formula>
    </cfRule>
  </conditionalFormatting>
  <conditionalFormatting sqref="A27:XFD28">
    <cfRule type="expression" dxfId="13" priority="11">
      <formula>IF($A27&lt;&gt;$A28, TRUE, FALSE)</formula>
    </cfRule>
  </conditionalFormatting>
  <conditionalFormatting sqref="A30:XFD30">
    <cfRule type="expression" dxfId="12" priority="10">
      <formula>IF($A30&lt;&gt;$A31, TRUE, FALSE)</formula>
    </cfRule>
  </conditionalFormatting>
  <conditionalFormatting sqref="A11:XFD11 A63:B63 A39:XFD39 F63:XFD63">
    <cfRule type="expression" dxfId="11" priority="42">
      <formula>IF($A11&lt;&gt;$A13, TRUE, FALSE)</formula>
    </cfRule>
  </conditionalFormatting>
  <conditionalFormatting sqref="A12:XFD12">
    <cfRule type="expression" dxfId="10" priority="9">
      <formula>IF($A12&lt;&gt;$A13, TRUE, FALSE)</formula>
    </cfRule>
  </conditionalFormatting>
  <conditionalFormatting sqref="A114:XFD114">
    <cfRule type="expression" dxfId="9" priority="45">
      <formula>IF($A114&lt;&gt;$A119, TRUE, FALSE)</formula>
    </cfRule>
  </conditionalFormatting>
  <conditionalFormatting sqref="A115:XFD118">
    <cfRule type="expression" dxfId="8" priority="8">
      <formula>IF($A115&lt;&gt;$A116, TRUE, FALSE)</formula>
    </cfRule>
  </conditionalFormatting>
  <conditionalFormatting sqref="A125:XFD125">
    <cfRule type="expression" dxfId="7" priority="7">
      <formula>IF($A125&lt;&gt;$A126, TRUE, FALSE)</formula>
    </cfRule>
  </conditionalFormatting>
  <conditionalFormatting sqref="A64:B64 F64:XFD64">
    <cfRule type="expression" dxfId="6" priority="6">
      <formula>IF($A64&lt;&gt;$A65, TRUE, FALSE)</formula>
    </cfRule>
  </conditionalFormatting>
  <conditionalFormatting sqref="A40:XFD40">
    <cfRule type="expression" dxfId="5" priority="5">
      <formula>IF($A40&lt;&gt;$A41, TRUE, FALSE)</formula>
    </cfRule>
  </conditionalFormatting>
  <conditionalFormatting sqref="A48:XFD48">
    <cfRule type="expression" dxfId="4" priority="48">
      <formula>IF($A48&lt;&gt;#REF!, TRUE, FALSE)</formula>
    </cfRule>
  </conditionalFormatting>
  <conditionalFormatting sqref="C60:E60">
    <cfRule type="expression" dxfId="3" priority="3">
      <formula>IF($A60&lt;&gt;$A62, TRUE, FALSE)</formula>
    </cfRule>
  </conditionalFormatting>
  <conditionalFormatting sqref="C61:E61">
    <cfRule type="expression" dxfId="2" priority="2">
      <formula>IF($A61&lt;&gt;$A62, TRUE, FALSE)</formula>
    </cfRule>
  </conditionalFormatting>
  <conditionalFormatting sqref="A69:XFD69">
    <cfRule type="expression" dxfId="0" priority="1">
      <formula>IF($A69&lt;&gt;$A70, TRUE, FALSE)</formula>
    </cfRule>
  </conditionalFormatting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0db41735-03c9-45f7-99e2-dcae27ef4500" xsi:nil="true"/>
    <lcf76f155ced4ddcb4097134ff3c332f xmlns="856a7437-a7e7-4452-817c-46e435f59c4c">
      <Terms xmlns="http://schemas.microsoft.com/office/infopath/2007/PartnerControls"/>
    </lcf76f155ced4ddcb4097134ff3c332f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B10405EB6D76C04A99D739F71CB1C882" ma:contentTypeVersion="16" ma:contentTypeDescription="Create a new document." ma:contentTypeScope="" ma:versionID="588855ac044783769b53e0cfeb370d1a">
  <xsd:schema xmlns:xsd="http://www.w3.org/2001/XMLSchema" xmlns:xs="http://www.w3.org/2001/XMLSchema" xmlns:p="http://schemas.microsoft.com/office/2006/metadata/properties" xmlns:ns2="856a7437-a7e7-4452-817c-46e435f59c4c" xmlns:ns3="0db41735-03c9-45f7-99e2-dcae27ef4500" targetNamespace="http://schemas.microsoft.com/office/2006/metadata/properties" ma:root="true" ma:fieldsID="4f4c0eefc11dc6e5e719c9a8931b7f89" ns2:_="" ns3:_="">
    <xsd:import namespace="856a7437-a7e7-4452-817c-46e435f59c4c"/>
    <xsd:import namespace="0db41735-03c9-45f7-99e2-dcae27ef450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LengthInSeconds" minOccurs="0"/>
                <xsd:element ref="ns2:MediaServiceLocation" minOccurs="0"/>
                <xsd:element ref="ns2:MediaServiceSearchPropertie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56a7437-a7e7-4452-817c-46e435f59c4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4" nillable="true" ma:taxonomy="true" ma:internalName="lcf76f155ced4ddcb4097134ff3c332f" ma:taxonomyFieldName="MediaServiceImageTags" ma:displayName="Image Tags" ma:readOnly="false" ma:fieldId="{5cf76f15-5ced-4ddc-b409-7134ff3c332f}" ma:taxonomyMulti="true" ma:sspId="2f7773e7-c09a-4624-9b47-1ae33f44799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9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21" nillable="true" ma:displayName="Location" ma:indexed="true" ma:internalName="MediaServiceLocation" ma:readOnly="true">
      <xsd:simpleType>
        <xsd:restriction base="dms:Text"/>
      </xsd:simpleType>
    </xsd:element>
    <xsd:element name="MediaServiceSearchProperties" ma:index="22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3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db41735-03c9-45f7-99e2-dcae27ef4500" elementFormDefault="qualified">
    <xsd:import namespace="http://schemas.microsoft.com/office/2006/documentManagement/types"/>
    <xsd:import namespace="http://schemas.microsoft.com/office/infopath/2007/PartnerControls"/>
    <xsd:element name="SharedWithUsers" ma:index="11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2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5" nillable="true" ma:displayName="Taxonomy Catch All Column" ma:hidden="true" ma:list="{31fd351d-a755-486a-a08e-1b724b18a896}" ma:internalName="TaxCatchAll" ma:showField="CatchAllData" ma:web="0db41735-03c9-45f7-99e2-dcae27ef4500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34DF14EF-9695-4C1E-AA3D-1898563EEFCB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366D689B-EA99-40CD-8C29-C46E1E100306}">
  <ds:schemaRefs>
    <ds:schemaRef ds:uri="http://schemas.microsoft.com/office/2006/metadata/properties"/>
    <ds:schemaRef ds:uri="http://schemas.microsoft.com/office/infopath/2007/PartnerControls"/>
    <ds:schemaRef ds:uri="0db41735-03c9-45f7-99e2-dcae27ef4500"/>
    <ds:schemaRef ds:uri="856a7437-a7e7-4452-817c-46e435f59c4c"/>
  </ds:schemaRefs>
</ds:datastoreItem>
</file>

<file path=customXml/itemProps3.xml><?xml version="1.0" encoding="utf-8"?>
<ds:datastoreItem xmlns:ds="http://schemas.openxmlformats.org/officeDocument/2006/customXml" ds:itemID="{54E2E001-0CF6-4D1A-BD8C-B56D3CAC6266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856a7437-a7e7-4452-817c-46e435f59c4c"/>
    <ds:schemaRef ds:uri="0db41735-03c9-45f7-99e2-dcae27ef4500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Assortment Expansion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Paul Kirchner</dc:creator>
  <cp:lastModifiedBy>Paul Kirchner</cp:lastModifiedBy>
  <dcterms:created xsi:type="dcterms:W3CDTF">2026-04-30T22:33:14Z</dcterms:created>
  <dcterms:modified xsi:type="dcterms:W3CDTF">2026-10-05T11:21:11Z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0x010100B10405EB6D76C04A99D739F71CB1C882</vt:lpwstr>
  </property>
</Properties>
</file>