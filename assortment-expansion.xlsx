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5859D1CF-EA07-45F7-B5F4-FD8F2F66359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1" l="1"/>
  <c r="B123" i="1" s="1"/>
  <c r="B124" i="1" s="1"/>
  <c r="B116" i="1"/>
  <c r="B117" i="1" s="1"/>
  <c r="B118" i="1" s="1"/>
  <c r="B119" i="1" s="1"/>
  <c r="B120" i="1" s="1"/>
  <c r="B121" i="1" s="1"/>
  <c r="B110" i="1"/>
  <c r="B111" i="1" s="1"/>
  <c r="B112" i="1" s="1"/>
  <c r="B113" i="1" s="1"/>
  <c r="B114" i="1" s="1"/>
  <c r="B115" i="1" s="1"/>
  <c r="B105" i="1"/>
  <c r="B106" i="1" s="1"/>
  <c r="B107" i="1" s="1"/>
  <c r="B108" i="1" s="1"/>
  <c r="B109" i="1" s="1"/>
  <c r="B97" i="1"/>
  <c r="B98" i="1" s="1"/>
  <c r="B99" i="1" s="1"/>
  <c r="B100" i="1" s="1"/>
  <c r="B101" i="1" s="1"/>
  <c r="B102" i="1" s="1"/>
  <c r="B103" i="1" s="1"/>
  <c r="B104" i="1" s="1"/>
  <c r="B92" i="1"/>
  <c r="B93" i="1" s="1"/>
  <c r="B94" i="1" s="1"/>
  <c r="B95" i="1" s="1"/>
  <c r="B96" i="1" s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6" i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11" i="1"/>
  <c r="B12" i="1" s="1"/>
  <c r="B13" i="1" s="1"/>
  <c r="D44" i="1"/>
  <c r="D42" i="1"/>
  <c r="D41" i="1"/>
  <c r="D93" i="1"/>
  <c r="D45" i="1"/>
  <c r="D73" i="1"/>
  <c r="D109" i="1"/>
  <c r="D62" i="1"/>
  <c r="D61" i="1"/>
  <c r="D16" i="1"/>
  <c r="D9" i="1"/>
  <c r="D12" i="1"/>
  <c r="D5" i="1"/>
  <c r="D6" i="1"/>
  <c r="D51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B74" i="1" l="1"/>
  <c r="B75" i="1" s="1"/>
  <c r="B76" i="1" s="1"/>
  <c r="B77" i="1" s="1"/>
  <c r="B78" i="1" s="1"/>
  <c r="B79" i="1" s="1"/>
  <c r="B80" i="1" s="1"/>
  <c r="F40" i="1" l="1"/>
  <c r="F14" i="1" l="1"/>
  <c r="F17" i="1" l="1"/>
  <c r="F53" i="1"/>
  <c r="F43" i="1"/>
  <c r="F103" i="1"/>
  <c r="F109" i="1" l="1"/>
  <c r="F108" i="1"/>
  <c r="F16" i="1" l="1"/>
  <c r="F54" i="1"/>
  <c r="F97" i="1"/>
  <c r="F122" i="1"/>
  <c r="F42" i="1"/>
  <c r="F96" i="1" l="1"/>
  <c r="F58" i="1" l="1"/>
  <c r="F102" i="1"/>
  <c r="F51" i="1"/>
  <c r="F24" i="1"/>
  <c r="F21" i="1"/>
  <c r="F50" i="1"/>
  <c r="F33" i="1" l="1"/>
  <c r="F34" i="1"/>
  <c r="F91" i="1"/>
  <c r="F11" i="1"/>
  <c r="F12" i="1"/>
  <c r="F13" i="1"/>
  <c r="F98" i="1"/>
  <c r="F105" i="1"/>
  <c r="F107" i="1"/>
  <c r="F106" i="1"/>
  <c r="F92" i="1"/>
  <c r="F95" i="1"/>
  <c r="F94" i="1"/>
  <c r="F93" i="1"/>
  <c r="F99" i="1"/>
  <c r="F86" i="1"/>
  <c r="F85" i="1"/>
  <c r="F83" i="1"/>
  <c r="F82" i="1"/>
  <c r="F36" i="1"/>
  <c r="F35" i="1"/>
  <c r="F90" i="1"/>
  <c r="F89" i="1"/>
  <c r="F32" i="1"/>
  <c r="F31" i="1"/>
  <c r="F28" i="1"/>
  <c r="F29" i="1"/>
  <c r="F115" i="1"/>
  <c r="F114" i="1"/>
  <c r="F113" i="1"/>
  <c r="F111" i="1"/>
  <c r="F26" i="1"/>
  <c r="F10" i="1" l="1"/>
  <c r="F116" i="1"/>
  <c r="F39" i="1"/>
  <c r="F56" i="1"/>
  <c r="F84" i="1"/>
  <c r="F57" i="1"/>
  <c r="F44" i="1"/>
  <c r="F5" i="1"/>
  <c r="F117" i="1"/>
  <c r="F37" i="1"/>
  <c r="F81" i="1"/>
  <c r="F118" i="1"/>
  <c r="F6" i="1"/>
  <c r="F110" i="1"/>
  <c r="F25" i="1"/>
  <c r="F120" i="1"/>
  <c r="F7" i="1"/>
  <c r="F9" i="1"/>
  <c r="F119" i="1"/>
  <c r="F27" i="1"/>
  <c r="F88" i="1"/>
  <c r="F55" i="1"/>
  <c r="F87" i="1"/>
  <c r="F38" i="1"/>
  <c r="F123" i="1"/>
  <c r="F52" i="1"/>
  <c r="F15" i="1"/>
  <c r="F41" i="1"/>
  <c r="F124" i="1"/>
  <c r="F8" i="1"/>
  <c r="F121" i="1"/>
  <c r="F49" i="1"/>
  <c r="F23" i="1"/>
  <c r="F59" i="1"/>
  <c r="F47" i="1"/>
  <c r="F100" i="1"/>
  <c r="F19" i="1"/>
  <c r="F62" i="1"/>
  <c r="F48" i="1"/>
  <c r="F22" i="1"/>
  <c r="F104" i="1"/>
  <c r="F45" i="1"/>
  <c r="F60" i="1"/>
  <c r="F18" i="1"/>
  <c r="F30" i="1"/>
  <c r="F112" i="1"/>
  <c r="F101" i="1"/>
  <c r="F20" i="1"/>
  <c r="F46" i="1"/>
  <c r="F61" i="1"/>
</calcChain>
</file>

<file path=xl/sharedStrings.xml><?xml version="1.0" encoding="utf-8"?>
<sst xmlns="http://schemas.openxmlformats.org/spreadsheetml/2006/main" count="237" uniqueCount="81">
  <si>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</si>
  <si>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</si>
  <si>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</si>
  <si>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</si>
  <si>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</si>
  <si>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</si>
  <si>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</si>
  <si>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</si>
  <si>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</si>
  <si>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</si>
  <si>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</si>
  <si>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</si>
  <si>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</si>
  <si>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</si>
  <si>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</si>
  <si>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</si>
  <si>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</si>
  <si>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</si>
  <si>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</si>
  <si>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</si>
  <si>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</si>
  <si>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</si>
  <si>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</si>
  <si>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</si>
  <si>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</si>
  <si>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</si>
  <si>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</si>
  <si>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</si>
  <si>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</si>
  <si>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</si>
  <si>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</si>
  <si>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</si>
  <si>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</si>
  <si>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</si>
  <si>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</si>
  <si>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</si>
  <si>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</si>
  <si>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</si>
  <si>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</si>
  <si>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</si>
  <si>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</si>
  <si>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</si>
  <si>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</si>
  <si>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</si>
  <si>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</si>
  <si>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</si>
  <si>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</si>
  <si>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</si>
  <si>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</si>
  <si>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</si>
  <si>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</si>
  <si>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</si>
  <si>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</si>
  <si>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</si>
  <si>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</si>
  <si>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</si>
  <si>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</si>
  <si>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</si>
  <si>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</si>
  <si>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</si>
  <si>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</si>
  <si>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</si>
  <si>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</si>
  <si>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</si>
  <si>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</si>
  <si>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</si>
  <si>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</si>
  <si>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</si>
  <si>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</si>
  <si>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</si>
  <si>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</si>
  <si>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</si>
  <si>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</si>
  <si>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</si>
  <si>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</si>
  <si>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</si>
  <si>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99-9502</t>
  </si>
  <si>
    <t>LL-16-3224</t>
  </si>
  <si>
    <t>165005</t>
  </si>
  <si>
    <t>165008</t>
  </si>
  <si>
    <t>165012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</si>
</sst>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The North Pole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LL-16-3224</v>
          </cell>
          <cell r="G359" t="str">
            <v>FlowArt: Dot-By-Letter, Everyday Inspiration</v>
          </cell>
          <cell r="H359" t="str">
            <v>Y</v>
          </cell>
          <cell r="I359" t="str">
            <v>396</v>
          </cell>
          <cell r="J359">
            <v>810076213965</v>
          </cell>
          <cell r="K359">
            <v>50810076213960</v>
          </cell>
          <cell r="L359">
            <v>30810076213966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LL-16-3225</v>
          </cell>
          <cell r="G360" t="str">
            <v>FlowArt: Dot-By-Letter, Wags &amp; Whiskers</v>
          </cell>
          <cell r="H360" t="str">
            <v>Y</v>
          </cell>
          <cell r="I360" t="str">
            <v>397</v>
          </cell>
          <cell r="J360">
            <v>810076213972</v>
          </cell>
          <cell r="K360">
            <v>50810076213977</v>
          </cell>
          <cell r="L360">
            <v>30810076213973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LL-16-3243</v>
          </cell>
          <cell r="G361" t="str">
            <v>FlowArt: Dot-By-Letter, Day at the Beach</v>
          </cell>
          <cell r="H361" t="str">
            <v>Y</v>
          </cell>
          <cell r="I361" t="str">
            <v>417</v>
          </cell>
          <cell r="J361">
            <v>810076214177</v>
          </cell>
          <cell r="K361">
            <v>50810076214172</v>
          </cell>
          <cell r="L361">
            <v>30810076214178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LL-16-3493</v>
          </cell>
          <cell r="G362" t="str">
            <v>FlowArt: Dot-By-Letter, Slow Summer</v>
          </cell>
          <cell r="H362" t="str">
            <v>Y</v>
          </cell>
          <cell r="I362" t="str">
            <v>676</v>
          </cell>
          <cell r="J362">
            <v>810076216768</v>
          </cell>
          <cell r="K362">
            <v>50810076216763</v>
          </cell>
          <cell r="L362">
            <v>30810076216769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LL-16-3407</v>
          </cell>
          <cell r="G363" t="str">
            <v>FlowArt: Dot-By-Letter, Farmers Market Morning [Pastel]</v>
          </cell>
          <cell r="H363" t="str">
            <v>Y</v>
          </cell>
          <cell r="I363" t="str">
            <v>607</v>
          </cell>
          <cell r="J363">
            <v>810076216072</v>
          </cell>
          <cell r="K363">
            <v>50810076216077</v>
          </cell>
          <cell r="L363">
            <v>30810076216073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Y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Y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Y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Y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Y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Y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Y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Y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Y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Y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Y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Y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O582">
            <v>29.99</v>
          </cell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O583">
            <v>29.99</v>
          </cell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O584">
            <v>29.99</v>
          </cell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O585">
            <v>29.99</v>
          </cell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O586">
            <v>39.99</v>
          </cell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O587">
            <v>39.99</v>
          </cell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O588">
            <v>39.99</v>
          </cell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O589">
            <v>39.99</v>
          </cell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O590">
            <v>49.99</v>
          </cell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O591">
            <v>49.99</v>
          </cell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O594">
            <v>79.989999999999995</v>
          </cell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O595">
            <v>99.99</v>
          </cell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M635">
            <v>0</v>
          </cell>
          <cell r="N635">
            <v>1</v>
          </cell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M638">
            <v>0</v>
          </cell>
          <cell r="N638">
            <v>1</v>
          </cell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LL-WM-9950</v>
          </cell>
          <cell r="G640" t="str">
            <v>FY27Q1 Endcap - FA - WMT - EMPTY</v>
          </cell>
          <cell r="H640" t="str">
            <v>N</v>
          </cell>
          <cell r="I640" t="str">
            <v/>
          </cell>
          <cell r="M640">
            <v>0</v>
          </cell>
          <cell r="N640">
            <v>1</v>
          </cell>
        </row>
        <row r="641">
          <cell r="F641" t="str">
            <v>LL-WM-0045</v>
          </cell>
          <cell r="G641" t="str">
            <v>FY27Q1 Endcap - FA - WMT - 9 - SHELF #1</v>
          </cell>
          <cell r="H641" t="str">
            <v>N</v>
          </cell>
          <cell r="I641" t="str">
            <v>726</v>
          </cell>
          <cell r="J641">
            <v>810076217260</v>
          </cell>
          <cell r="K641">
            <v>50810076217265</v>
          </cell>
          <cell r="L641">
            <v>30810076217261</v>
          </cell>
          <cell r="M641">
            <v>0</v>
          </cell>
          <cell r="N641">
            <v>1</v>
          </cell>
          <cell r="P641">
            <v>45</v>
          </cell>
        </row>
        <row r="642">
          <cell r="F642" t="str">
            <v>LL-WM-0046</v>
          </cell>
          <cell r="G642" t="str">
            <v>FY27Q1 Endcap - FA - WMT - 9 - SHELF #2</v>
          </cell>
          <cell r="H642" t="str">
            <v>N</v>
          </cell>
          <cell r="I642" t="str">
            <v>727</v>
          </cell>
          <cell r="J642">
            <v>810076217277</v>
          </cell>
          <cell r="K642">
            <v>50810076217272</v>
          </cell>
          <cell r="L642">
            <v>30810076217278</v>
          </cell>
          <cell r="M642">
            <v>0</v>
          </cell>
          <cell r="N642">
            <v>1</v>
          </cell>
          <cell r="P642">
            <v>45</v>
          </cell>
        </row>
        <row r="643">
          <cell r="F643" t="str">
            <v>LL-WM-0047</v>
          </cell>
          <cell r="G643" t="str">
            <v>FY27Q1 Endcap - FA - WMT - 9 - SHELF #3</v>
          </cell>
          <cell r="H643" t="str">
            <v>N</v>
          </cell>
          <cell r="I643" t="str">
            <v>728</v>
          </cell>
          <cell r="J643">
            <v>810076217284</v>
          </cell>
          <cell r="K643">
            <v>50810076217289</v>
          </cell>
          <cell r="L643">
            <v>30810076217285</v>
          </cell>
          <cell r="M643">
            <v>0</v>
          </cell>
          <cell r="N643">
            <v>1</v>
          </cell>
          <cell r="P643">
            <v>45</v>
          </cell>
        </row>
        <row r="644">
          <cell r="F644" t="str">
            <v>LL-WM-0048</v>
          </cell>
          <cell r="G644" t="str">
            <v>FY27Q1 Endcap - FA - WMT - 9 - SHELF #4</v>
          </cell>
          <cell r="H644" t="str">
            <v>N</v>
          </cell>
          <cell r="I644" t="str">
            <v>729</v>
          </cell>
          <cell r="J644">
            <v>810076217291</v>
          </cell>
          <cell r="K644">
            <v>50810076217296</v>
          </cell>
          <cell r="L644">
            <v>30810076217292</v>
          </cell>
          <cell r="M644">
            <v>0</v>
          </cell>
          <cell r="N644">
            <v>1</v>
          </cell>
          <cell r="P644">
            <v>45</v>
          </cell>
        </row>
        <row r="645">
          <cell r="F645" t="str">
            <v>LL-WM-0049</v>
          </cell>
          <cell r="G645" t="str">
            <v>FY27Q1 Endcap - FA - WMT - 9 - SHELF #5</v>
          </cell>
          <cell r="H645" t="str">
            <v>N</v>
          </cell>
          <cell r="I645" t="str">
            <v>730</v>
          </cell>
          <cell r="J645">
            <v>810076217307</v>
          </cell>
          <cell r="K645">
            <v>50810076217302</v>
          </cell>
          <cell r="L645">
            <v>30810076217308</v>
          </cell>
          <cell r="M645">
            <v>0</v>
          </cell>
          <cell r="N645">
            <v>1</v>
          </cell>
          <cell r="P645">
            <v>45</v>
          </cell>
        </row>
        <row r="646">
          <cell r="F646" t="str">
            <v>LL-WM-0005</v>
          </cell>
          <cell r="G646" t="str">
            <v>May26 Sidekick - FA - WALMART - 12</v>
          </cell>
          <cell r="H646" t="str">
            <v>Y</v>
          </cell>
          <cell r="I646" t="str">
            <v>511</v>
          </cell>
          <cell r="J646">
            <v>810076215112</v>
          </cell>
          <cell r="K646">
            <v>50810076215117</v>
          </cell>
          <cell r="L646">
            <v>30810076215113</v>
          </cell>
          <cell r="M646">
            <v>0</v>
          </cell>
          <cell r="N646">
            <v>1</v>
          </cell>
          <cell r="P646">
            <v>60</v>
          </cell>
        </row>
        <row r="647">
          <cell r="F647" t="str">
            <v>LL-WM-9905</v>
          </cell>
          <cell r="G647" t="str">
            <v>May26 Sidekick - FA - WALMART - Empty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  <cell r="P647">
            <v>0</v>
          </cell>
        </row>
        <row r="648">
          <cell r="F648" t="str">
            <v>LL-WM-0006</v>
          </cell>
          <cell r="G648" t="str">
            <v>Oct26 Sidekick - FA - WALMART - 16</v>
          </cell>
          <cell r="H648" t="str">
            <v>Y</v>
          </cell>
          <cell r="I648" t="str">
            <v>559</v>
          </cell>
          <cell r="J648">
            <v>810076215594</v>
          </cell>
          <cell r="M648">
            <v>0</v>
          </cell>
          <cell r="N648">
            <v>1</v>
          </cell>
          <cell r="P648">
            <v>80</v>
          </cell>
        </row>
        <row r="649">
          <cell r="F649" t="str">
            <v>LL-WM-9906</v>
          </cell>
          <cell r="G649" t="str">
            <v>Oct26 Sidekick - FA - WALMART - Empty</v>
          </cell>
          <cell r="H649" t="str">
            <v>N</v>
          </cell>
          <cell r="I649" t="str">
            <v/>
          </cell>
          <cell r="M649">
            <v>0</v>
          </cell>
          <cell r="N649">
            <v>1</v>
          </cell>
          <cell r="P649">
            <v>0</v>
          </cell>
        </row>
        <row r="650">
          <cell r="F650" t="str">
            <v>LL-00-0011</v>
          </cell>
          <cell r="G650" t="str">
            <v>May26 Sidecap - FA Minis - 72</v>
          </cell>
          <cell r="H650" t="str">
            <v>Y</v>
          </cell>
          <cell r="I650" t="str">
            <v>405</v>
          </cell>
          <cell r="J650">
            <v>810076214054</v>
          </cell>
          <cell r="K650">
            <v>50810076214059</v>
          </cell>
          <cell r="L650">
            <v>30810076214055</v>
          </cell>
          <cell r="M650">
            <v>0</v>
          </cell>
          <cell r="N650">
            <v>1</v>
          </cell>
          <cell r="P650">
            <v>252</v>
          </cell>
        </row>
        <row r="651">
          <cell r="F651" t="str">
            <v>LL-99-0011</v>
          </cell>
          <cell r="G651" t="str">
            <v>BTS FA Mini Empty</v>
          </cell>
          <cell r="H651" t="str">
            <v>N</v>
          </cell>
          <cell r="I651" t="str">
            <v>406</v>
          </cell>
          <cell r="J651">
            <v>810076214061</v>
          </cell>
          <cell r="K651">
            <v>50810076214066</v>
          </cell>
          <cell r="L651">
            <v>30810076214062</v>
          </cell>
          <cell r="M651">
            <v>0</v>
          </cell>
          <cell r="N651">
            <v>1</v>
          </cell>
        </row>
        <row r="652">
          <cell r="F652" t="str">
            <v>LL-01-2026</v>
          </cell>
          <cell r="G652" t="str">
            <v>2026 Product Catalogue</v>
          </cell>
          <cell r="H652" t="str">
            <v>N</v>
          </cell>
          <cell r="I652" t="str">
            <v>413</v>
          </cell>
          <cell r="J652">
            <v>810076214139</v>
          </cell>
          <cell r="K652">
            <v>50810076214134</v>
          </cell>
          <cell r="L652">
            <v>30810076214130</v>
          </cell>
          <cell r="M652">
            <v>0</v>
          </cell>
          <cell r="N652">
            <v>1</v>
          </cell>
        </row>
        <row r="653">
          <cell r="F653" t="str">
            <v>LL-02-2026</v>
          </cell>
          <cell r="G653" t="str">
            <v>2026 Product Catalogue - H2</v>
          </cell>
          <cell r="H653" t="str">
            <v>N</v>
          </cell>
          <cell r="I653" t="str">
            <v/>
          </cell>
          <cell r="M653">
            <v>0</v>
          </cell>
          <cell r="N653">
            <v>1</v>
          </cell>
        </row>
        <row r="654">
          <cell r="F654" t="str">
            <v>LL-00-0014</v>
          </cell>
          <cell r="G654" t="str">
            <v>FA Mini - Counter Display - 36</v>
          </cell>
          <cell r="H654" t="str">
            <v>Y</v>
          </cell>
          <cell r="I654" t="str">
            <v>437</v>
          </cell>
          <cell r="J654">
            <v>810076214375</v>
          </cell>
          <cell r="K654">
            <v>50810076214370</v>
          </cell>
          <cell r="L654">
            <v>30810076214376</v>
          </cell>
          <cell r="M654">
            <v>0</v>
          </cell>
          <cell r="N654">
            <v>1</v>
          </cell>
          <cell r="P654">
            <v>126</v>
          </cell>
        </row>
        <row r="655">
          <cell r="F655" t="str">
            <v>LL-99-0014</v>
          </cell>
          <cell r="G655" t="str">
            <v>FA Mini - Counter Display - Empty</v>
          </cell>
          <cell r="H655" t="str">
            <v>N</v>
          </cell>
          <cell r="I655" t="str">
            <v>619</v>
          </cell>
          <cell r="J655">
            <v>810076216195</v>
          </cell>
          <cell r="K655">
            <v>50810076216190</v>
          </cell>
          <cell r="L655">
            <v>30810076216196</v>
          </cell>
          <cell r="M655">
            <v>0</v>
          </cell>
          <cell r="N655">
            <v>1</v>
          </cell>
        </row>
        <row r="656">
          <cell r="F656" t="str">
            <v>LL-00-0032</v>
          </cell>
          <cell r="G656" t="str">
            <v>FA Mini - PDQ Display - Full - 6</v>
          </cell>
          <cell r="H656" t="str">
            <v>Y</v>
          </cell>
          <cell r="I656" t="str">
            <v>562</v>
          </cell>
          <cell r="J656">
            <v>810076215624</v>
          </cell>
          <cell r="K656">
            <v>50810076215629</v>
          </cell>
          <cell r="L656">
            <v>30810076215625</v>
          </cell>
          <cell r="M656">
            <v>0</v>
          </cell>
          <cell r="N656">
            <v>1</v>
          </cell>
          <cell r="P656">
            <v>21</v>
          </cell>
        </row>
        <row r="657">
          <cell r="F657" t="str">
            <v>LL-99-0032</v>
          </cell>
          <cell r="G657" t="str">
            <v>FA Mini - PDQ Display - Empty</v>
          </cell>
          <cell r="H657" t="str">
            <v>N</v>
          </cell>
          <cell r="I657" t="str">
            <v/>
          </cell>
          <cell r="M657">
            <v>0</v>
          </cell>
          <cell r="N657">
            <v>1</v>
          </cell>
        </row>
        <row r="658">
          <cell r="F658" t="str">
            <v>LL-00-0034</v>
          </cell>
          <cell r="G658" t="str">
            <v>FA Mini - Stew Leonard - 36</v>
          </cell>
          <cell r="H658" t="str">
            <v>N</v>
          </cell>
          <cell r="I658" t="str">
            <v>577</v>
          </cell>
          <cell r="J658">
            <v>810076215778</v>
          </cell>
          <cell r="K658">
            <v>50810076215773</v>
          </cell>
          <cell r="L658">
            <v>30810076215779</v>
          </cell>
          <cell r="M658">
            <v>0</v>
          </cell>
          <cell r="N658">
            <v>1</v>
          </cell>
          <cell r="P658">
            <v>21</v>
          </cell>
        </row>
        <row r="659">
          <cell r="F659" t="str">
            <v>LL-00-0015</v>
          </cell>
          <cell r="G659" t="str">
            <v>FA Holiday Mini - Counter Display - Full</v>
          </cell>
          <cell r="H659" t="str">
            <v>Y</v>
          </cell>
          <cell r="I659" t="str">
            <v>438</v>
          </cell>
          <cell r="J659">
            <v>810076214382</v>
          </cell>
          <cell r="K659">
            <v>50810076214387</v>
          </cell>
          <cell r="L659">
            <v>30810076214383</v>
          </cell>
          <cell r="M659">
            <v>0</v>
          </cell>
          <cell r="N659">
            <v>1</v>
          </cell>
          <cell r="P659">
            <v>126</v>
          </cell>
        </row>
        <row r="660">
          <cell r="F660" t="str">
            <v>LL-99-0015</v>
          </cell>
          <cell r="G660" t="str">
            <v>FA Holiday Mini - Counter Display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LL-99-3087</v>
          </cell>
          <cell r="G661" t="str">
            <v>UNIVERSAL COUNTER DISPLAY - EMPTY</v>
          </cell>
          <cell r="H661" t="str">
            <v>N</v>
          </cell>
          <cell r="I661" t="str">
            <v>214</v>
          </cell>
          <cell r="J661">
            <v>810076212142</v>
          </cell>
          <cell r="K661">
            <v>50810076212147</v>
          </cell>
          <cell r="L661">
            <v>30810076212143</v>
          </cell>
          <cell r="O661">
            <v>0</v>
          </cell>
          <cell r="P661">
            <v>0</v>
          </cell>
        </row>
        <row r="662">
          <cell r="F662" t="str">
            <v>LL-00-0017</v>
          </cell>
          <cell r="G662" t="str">
            <v>Writing - Counter Display - Full</v>
          </cell>
          <cell r="H662" t="str">
            <v>Y</v>
          </cell>
          <cell r="I662" t="str">
            <v>440</v>
          </cell>
          <cell r="J662">
            <v>810076214405</v>
          </cell>
          <cell r="K662">
            <v>50810076214400</v>
          </cell>
          <cell r="L662">
            <v>30810076214406</v>
          </cell>
          <cell r="M662">
            <v>0</v>
          </cell>
          <cell r="N662">
            <v>1</v>
          </cell>
        </row>
        <row r="663">
          <cell r="F663" t="str">
            <v>LL-00-0012</v>
          </cell>
          <cell r="G663" t="str">
            <v>Holiday Sidecap - FA Minis</v>
          </cell>
          <cell r="H663" t="str">
            <v>Y</v>
          </cell>
          <cell r="I663" t="str">
            <v>430</v>
          </cell>
          <cell r="J663">
            <v>810076214306</v>
          </cell>
          <cell r="K663">
            <v>50810076214301</v>
          </cell>
          <cell r="L663">
            <v>30810076214307</v>
          </cell>
          <cell r="M663">
            <v>0</v>
          </cell>
          <cell r="N663">
            <v>1</v>
          </cell>
        </row>
        <row r="664">
          <cell r="F664" t="str">
            <v>LL-99-0012</v>
          </cell>
          <cell r="G664" t="str">
            <v>Holiday FA Mini Empty</v>
          </cell>
          <cell r="H664" t="str">
            <v>N</v>
          </cell>
          <cell r="I664" t="str">
            <v>431</v>
          </cell>
          <cell r="J664">
            <v>810076214313</v>
          </cell>
          <cell r="K664">
            <v>50810076214318</v>
          </cell>
          <cell r="L664">
            <v>30810076214314</v>
          </cell>
          <cell r="M664">
            <v>0</v>
          </cell>
          <cell r="N664">
            <v>1</v>
          </cell>
          <cell r="P664">
            <v>252</v>
          </cell>
        </row>
        <row r="665">
          <cell r="F665" t="str">
            <v>LL-00-0024</v>
          </cell>
          <cell r="G665" t="str">
            <v>FlowArt Grocery Display Evergreen - 24</v>
          </cell>
          <cell r="H665" t="str">
            <v>Y</v>
          </cell>
          <cell r="I665" t="str">
            <v>517</v>
          </cell>
          <cell r="J665">
            <v>810076215174</v>
          </cell>
          <cell r="K665">
            <v>50810076215179</v>
          </cell>
          <cell r="L665">
            <v>30810076215175</v>
          </cell>
          <cell r="M665">
            <v>0</v>
          </cell>
          <cell r="N665">
            <v>1</v>
          </cell>
          <cell r="O665">
            <v>159.84</v>
          </cell>
          <cell r="P665">
            <v>120</v>
          </cell>
        </row>
        <row r="666">
          <cell r="F666" t="str">
            <v>LL-99-0024</v>
          </cell>
          <cell r="G666" t="str">
            <v>FlowArt Grocery Display Evergreen - Empty</v>
          </cell>
          <cell r="H666" t="str">
            <v>N</v>
          </cell>
          <cell r="I666" t="str">
            <v/>
          </cell>
          <cell r="M666">
            <v>0</v>
          </cell>
          <cell r="N666">
            <v>1</v>
          </cell>
        </row>
        <row r="667">
          <cell r="F667" t="str">
            <v>LL-00-0025</v>
          </cell>
          <cell r="G667" t="str">
            <v>FlowArt Summer Grocery Display - 24</v>
          </cell>
          <cell r="H667" t="str">
            <v>N</v>
          </cell>
          <cell r="I667" t="str">
            <v>518</v>
          </cell>
          <cell r="J667">
            <v>810076215181</v>
          </cell>
          <cell r="K667">
            <v>50810076215186</v>
          </cell>
          <cell r="L667">
            <v>30810076215182</v>
          </cell>
          <cell r="M667">
            <v>0</v>
          </cell>
          <cell r="N667">
            <v>1</v>
          </cell>
          <cell r="O667">
            <v>159.84</v>
          </cell>
          <cell r="P667">
            <v>120</v>
          </cell>
        </row>
        <row r="668">
          <cell r="F668" t="str">
            <v>LL-99-0025</v>
          </cell>
          <cell r="G668" t="str">
            <v>FlowArt Summer Grocery Display - Empty</v>
          </cell>
          <cell r="H668" t="str">
            <v>N</v>
          </cell>
          <cell r="I668" t="str">
            <v/>
          </cell>
          <cell r="M668">
            <v>0</v>
          </cell>
          <cell r="N668">
            <v>1</v>
          </cell>
        </row>
        <row r="669">
          <cell r="F669" t="str">
            <v>LL-00-0026</v>
          </cell>
          <cell r="G669" t="str">
            <v>FlowArt Fall Grocery Display - 24</v>
          </cell>
          <cell r="H669" t="str">
            <v>Y</v>
          </cell>
          <cell r="I669" t="str">
            <v>519</v>
          </cell>
          <cell r="J669">
            <v>810076215198</v>
          </cell>
          <cell r="K669">
            <v>50810076215193</v>
          </cell>
          <cell r="L669">
            <v>30810076215199</v>
          </cell>
          <cell r="M669">
            <v>0</v>
          </cell>
          <cell r="N669">
            <v>1</v>
          </cell>
          <cell r="O669">
            <v>159.84</v>
          </cell>
          <cell r="P669">
            <v>120</v>
          </cell>
        </row>
        <row r="670">
          <cell r="F670" t="str">
            <v>LL-99-0026</v>
          </cell>
          <cell r="G670" t="str">
            <v>FlowArt Fall Grocery Display - Empty</v>
          </cell>
          <cell r="H670" t="str">
            <v>N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LL-00-0026-V2</v>
          </cell>
          <cell r="G671" t="str">
            <v>FlowArt Fall Grocery Display - 24 - Version 2</v>
          </cell>
          <cell r="H671" t="str">
            <v>Y</v>
          </cell>
          <cell r="I671" t="str">
            <v/>
          </cell>
          <cell r="M671">
            <v>0</v>
          </cell>
          <cell r="N671">
            <v>1</v>
          </cell>
          <cell r="O671">
            <v>159.84</v>
          </cell>
          <cell r="P671">
            <v>80</v>
          </cell>
        </row>
        <row r="672">
          <cell r="F672" t="str">
            <v>LL-00-0027</v>
          </cell>
          <cell r="G672" t="str">
            <v>FlowArt Holiday Grocery Display - 24</v>
          </cell>
          <cell r="H672" t="str">
            <v>Y</v>
          </cell>
          <cell r="I672" t="str">
            <v>520</v>
          </cell>
          <cell r="J672">
            <v>810076215204</v>
          </cell>
          <cell r="K672">
            <v>50810076215209</v>
          </cell>
          <cell r="L672">
            <v>30810076215205</v>
          </cell>
          <cell r="M672">
            <v>0</v>
          </cell>
          <cell r="N672">
            <v>1</v>
          </cell>
          <cell r="O672">
            <v>239.76</v>
          </cell>
          <cell r="P672">
            <v>120</v>
          </cell>
        </row>
        <row r="673">
          <cell r="F673" t="str">
            <v>LL-99-0027</v>
          </cell>
          <cell r="G673" t="str">
            <v>FlowArt Holiday Grocery Display - Empty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239.76</v>
          </cell>
          <cell r="P673">
            <v>120</v>
          </cell>
        </row>
        <row r="674">
          <cell r="F674" t="str">
            <v>LL-00-0028</v>
          </cell>
          <cell r="G674" t="str">
            <v>FlowArt Mini Grocery Display - 36</v>
          </cell>
          <cell r="H674" t="str">
            <v>N</v>
          </cell>
          <cell r="I674" t="str">
            <v>521</v>
          </cell>
          <cell r="J674">
            <v>810076215211</v>
          </cell>
          <cell r="K674">
            <v>50810076215216</v>
          </cell>
          <cell r="L674">
            <v>30810076215212</v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LL-99-0028</v>
          </cell>
          <cell r="G675" t="str">
            <v>FlowArt Mini Grocery Display - Empty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LL-00-0029</v>
          </cell>
          <cell r="G676" t="str">
            <v>FlowArt Mini Holiday Grocery Display - 36</v>
          </cell>
          <cell r="H676" t="str">
            <v>N</v>
          </cell>
          <cell r="I676" t="str">
            <v>522</v>
          </cell>
          <cell r="J676">
            <v>810076215228</v>
          </cell>
          <cell r="K676">
            <v>50810076215223</v>
          </cell>
          <cell r="L676">
            <v>30810076215229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LL-99-0029</v>
          </cell>
          <cell r="G677" t="str">
            <v>FlowArt Mini Holiday Grocery Display - Empty</v>
          </cell>
          <cell r="H677" t="str">
            <v>N</v>
          </cell>
          <cell r="I677" t="str">
            <v/>
          </cell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LL-00-0040</v>
          </cell>
          <cell r="G678" t="str">
            <v>FlowArt MINI EXPRESS - WMT - 72 - #1</v>
          </cell>
          <cell r="H678" t="str">
            <v>Y</v>
          </cell>
          <cell r="I678" t="str">
            <v/>
          </cell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LL-99-0040</v>
          </cell>
          <cell r="G679" t="str">
            <v>FlowArt MINI EXPRESS - WMT - EMPTY- #1</v>
          </cell>
          <cell r="H679" t="str">
            <v>N</v>
          </cell>
          <cell r="I679" t="str">
            <v/>
          </cell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LL-00-0041</v>
          </cell>
          <cell r="G680" t="str">
            <v>FlowArt MINI EXPRESS - WMT - 60 - #2</v>
          </cell>
          <cell r="H680" t="str">
            <v>N</v>
          </cell>
          <cell r="I680" t="str">
            <v/>
          </cell>
          <cell r="M680">
            <v>0</v>
          </cell>
          <cell r="N680">
            <v>1</v>
          </cell>
          <cell r="O680">
            <v>251.64000000000001</v>
          </cell>
          <cell r="P680">
            <v>126</v>
          </cell>
        </row>
        <row r="681">
          <cell r="F681" t="str">
            <v>LL-99-0041</v>
          </cell>
          <cell r="G681" t="str">
            <v>FlowArt MINI EXPRESS - WMT - EMPTY- #2</v>
          </cell>
          <cell r="H681" t="str">
            <v>N</v>
          </cell>
          <cell r="I681" t="str">
            <v/>
          </cell>
          <cell r="M681">
            <v>0</v>
          </cell>
          <cell r="N681">
            <v>1</v>
          </cell>
          <cell r="O681">
            <v>251.64000000000001</v>
          </cell>
          <cell r="P681">
            <v>126</v>
          </cell>
        </row>
        <row r="682">
          <cell r="F682" t="str">
            <v>LL-00-0042</v>
          </cell>
          <cell r="G682" t="str">
            <v>FlowArt MINI EXPRESS - TGT Cross-Stitch - 72 - #1</v>
          </cell>
          <cell r="H682" t="str">
            <v>Y</v>
          </cell>
          <cell r="I682" t="str">
            <v>664</v>
          </cell>
          <cell r="J682">
            <v>810076216645</v>
          </cell>
          <cell r="K682">
            <v>50810076216640</v>
          </cell>
          <cell r="L682">
            <v>30810076216646</v>
          </cell>
          <cell r="M682">
            <v>0</v>
          </cell>
          <cell r="N682">
            <v>1</v>
          </cell>
          <cell r="O682">
            <v>251.64000000000001</v>
          </cell>
          <cell r="P682">
            <v>126</v>
          </cell>
        </row>
        <row r="683">
          <cell r="F683" t="str">
            <v>LL-99-0042</v>
          </cell>
          <cell r="G683" t="str">
            <v>FlowArt MINI EXPRESS - TGT Cross-Stitch - EMPTY - #1</v>
          </cell>
          <cell r="H683" t="str">
            <v>N</v>
          </cell>
          <cell r="I683" t="str">
            <v/>
          </cell>
          <cell r="M683">
            <v>0</v>
          </cell>
          <cell r="N683">
            <v>1</v>
          </cell>
          <cell r="O683">
            <v>251.64000000000001</v>
          </cell>
          <cell r="P683">
            <v>126</v>
          </cell>
        </row>
        <row r="684">
          <cell r="F684" t="str">
            <v>LL-00-0037</v>
          </cell>
          <cell r="G684" t="str">
            <v>FlowArt Mini Holiday Pharmacy Display - 40</v>
          </cell>
          <cell r="H684" t="str">
            <v>Y</v>
          </cell>
          <cell r="I684" t="str">
            <v>647</v>
          </cell>
          <cell r="J684">
            <v>810076216478</v>
          </cell>
          <cell r="K684">
            <v>50810076216473</v>
          </cell>
          <cell r="L684">
            <v>30810076216479</v>
          </cell>
          <cell r="M684">
            <v>0</v>
          </cell>
          <cell r="N684">
            <v>1</v>
          </cell>
          <cell r="O684">
            <v>251.64000000000001</v>
          </cell>
          <cell r="P684">
            <v>126</v>
          </cell>
        </row>
        <row r="685">
          <cell r="F685" t="str">
            <v>LL-99-0037</v>
          </cell>
          <cell r="G685" t="str">
            <v>FlowArt Mini Holiday Pharmacy Display - Empty</v>
          </cell>
          <cell r="H685" t="str">
            <v>N</v>
          </cell>
          <cell r="I685" t="str">
            <v/>
          </cell>
          <cell r="M685">
            <v>0</v>
          </cell>
          <cell r="N685">
            <v>1</v>
          </cell>
          <cell r="O685">
            <v>251.64000000000001</v>
          </cell>
          <cell r="P685">
            <v>126</v>
          </cell>
        </row>
        <row r="686">
          <cell r="F686" t="str">
            <v>LL-DG-9930</v>
          </cell>
          <cell r="G686" t="str">
            <v>FlowArt Mini EXPRESS - DISPLAY 1 - EMPTY</v>
          </cell>
          <cell r="H686" t="str">
            <v>N</v>
          </cell>
          <cell r="I686" t="str">
            <v/>
          </cell>
          <cell r="M686">
            <v>0</v>
          </cell>
          <cell r="N686">
            <v>1</v>
          </cell>
        </row>
        <row r="687">
          <cell r="F687" t="str">
            <v>LL-DG-0030</v>
          </cell>
          <cell r="G687" t="str">
            <v>FlowArt Mini EXPRESS - DISPLAY 1 - 36</v>
          </cell>
          <cell r="H687" t="str">
            <v>Y</v>
          </cell>
          <cell r="I687" t="str">
            <v>557</v>
          </cell>
          <cell r="J687">
            <v>810076215570</v>
          </cell>
          <cell r="K687">
            <v>50810076215575</v>
          </cell>
          <cell r="L687">
            <v>30810076215571</v>
          </cell>
          <cell r="M687">
            <v>0</v>
          </cell>
          <cell r="N687">
            <v>1</v>
          </cell>
          <cell r="O687">
            <v>179.64000000000001</v>
          </cell>
          <cell r="P687">
            <v>80.28</v>
          </cell>
        </row>
        <row r="688">
          <cell r="F688" t="str">
            <v>LL-DG-0031</v>
          </cell>
          <cell r="G688" t="str">
            <v>FlowArt Mini EXPRESS - DISPLAY 2 - 36</v>
          </cell>
          <cell r="H688" t="str">
            <v>N</v>
          </cell>
          <cell r="I688" t="str">
            <v>558</v>
          </cell>
          <cell r="J688">
            <v>810076215587</v>
          </cell>
          <cell r="K688">
            <v>50810076215582</v>
          </cell>
          <cell r="L688">
            <v>30810076215588</v>
          </cell>
          <cell r="M688">
            <v>0</v>
          </cell>
          <cell r="N688">
            <v>1</v>
          </cell>
          <cell r="O688">
            <v>179.64000000000001</v>
          </cell>
          <cell r="P688">
            <v>80.28</v>
          </cell>
        </row>
        <row r="689">
          <cell r="F689" t="str">
            <v>LL-99-0039</v>
          </cell>
          <cell r="G689" t="str">
            <v>FlowArt MINI Spring Display - Empty</v>
          </cell>
          <cell r="H689" t="str">
            <v>N</v>
          </cell>
          <cell r="I689" t="str">
            <v/>
          </cell>
          <cell r="M689">
            <v>0</v>
          </cell>
          <cell r="N689">
            <v>1</v>
          </cell>
        </row>
        <row r="690">
          <cell r="F690" t="str">
            <v>LL-00-0039</v>
          </cell>
          <cell r="G690" t="str">
            <v>FlowArt MINI Spring Display - 36</v>
          </cell>
          <cell r="H690" t="str">
            <v>Y</v>
          </cell>
          <cell r="I690" t="str">
            <v>634</v>
          </cell>
          <cell r="J690">
            <v>810076216348</v>
          </cell>
          <cell r="K690">
            <v>50810076216343</v>
          </cell>
          <cell r="L690">
            <v>30810076216349</v>
          </cell>
          <cell r="M690">
            <v>0</v>
          </cell>
          <cell r="N690">
            <v>1</v>
          </cell>
          <cell r="O690">
            <v>143.76</v>
          </cell>
          <cell r="P690">
            <v>120</v>
          </cell>
        </row>
        <row r="691">
          <cell r="F691" t="str">
            <v>LL-99-0038</v>
          </cell>
          <cell r="G691" t="str">
            <v>FlowArt Spring Display - Empty</v>
          </cell>
          <cell r="H691" t="str">
            <v>N</v>
          </cell>
          <cell r="I691" t="str">
            <v/>
          </cell>
          <cell r="M691">
            <v>0</v>
          </cell>
          <cell r="N691">
            <v>1</v>
          </cell>
        </row>
        <row r="692">
          <cell r="F692" t="str">
            <v>LL-00-0038</v>
          </cell>
          <cell r="G692" t="str">
            <v>FlowArt Spring Display - 24</v>
          </cell>
          <cell r="H692" t="str">
            <v>Y</v>
          </cell>
          <cell r="I692" t="str">
            <v>632</v>
          </cell>
          <cell r="J692">
            <v>810076216324</v>
          </cell>
          <cell r="K692">
            <v>50810076216329</v>
          </cell>
          <cell r="L692">
            <v>30810076216325</v>
          </cell>
          <cell r="M692">
            <v>0</v>
          </cell>
          <cell r="N692">
            <v>1</v>
          </cell>
          <cell r="O692">
            <v>239.76</v>
          </cell>
          <cell r="P692">
            <v>120</v>
          </cell>
        </row>
        <row r="693">
          <cell r="F693" t="str">
            <v>LL-99-0033</v>
          </cell>
          <cell r="G693" t="str">
            <v>FlowArt Valentine Display - Empty</v>
          </cell>
          <cell r="H693" t="str">
            <v>N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LL-00-0033</v>
          </cell>
          <cell r="G694" t="str">
            <v>FlowArt Valentine Display - 24</v>
          </cell>
          <cell r="H694" t="str">
            <v>Y</v>
          </cell>
          <cell r="I694" t="str">
            <v>576</v>
          </cell>
          <cell r="J694">
            <v>810076215761</v>
          </cell>
          <cell r="K694">
            <v>50810076215766</v>
          </cell>
          <cell r="L694">
            <v>30810076215762</v>
          </cell>
          <cell r="M694">
            <v>0</v>
          </cell>
          <cell r="N694">
            <v>1</v>
          </cell>
          <cell r="O694">
            <v>239.76</v>
          </cell>
          <cell r="P694">
            <v>120</v>
          </cell>
        </row>
        <row r="695">
          <cell r="F695" t="str">
            <v>LL-00-0043</v>
          </cell>
          <cell r="G695" t="str">
            <v>FA Mini - Fixed Assortment - 6</v>
          </cell>
          <cell r="H695" t="str">
            <v>Y</v>
          </cell>
          <cell r="I695" t="str">
            <v>678</v>
          </cell>
          <cell r="J695">
            <v>810076216782</v>
          </cell>
          <cell r="K695">
            <v>50810076216787</v>
          </cell>
          <cell r="L695">
            <v>30810076216783</v>
          </cell>
          <cell r="M695">
            <v>0</v>
          </cell>
          <cell r="N695">
            <v>1</v>
          </cell>
        </row>
        <row r="696">
          <cell r="F696" t="str">
            <v>LL-DISP-FA-SP26</v>
          </cell>
          <cell r="G696" t="str">
            <v>MT 2026 - FA Spring / Summer - 36</v>
          </cell>
          <cell r="H696" t="str">
            <v>Y</v>
          </cell>
          <cell r="I696" t="str">
            <v>473</v>
          </cell>
          <cell r="J696">
            <v>810076214733</v>
          </cell>
          <cell r="K696">
            <v>50810076214738</v>
          </cell>
          <cell r="L696">
            <v>30810076214734</v>
          </cell>
          <cell r="M696">
            <v>0</v>
          </cell>
          <cell r="N696">
            <v>1</v>
          </cell>
        </row>
        <row r="697">
          <cell r="F697" t="str">
            <v>LL-DISP-FA-FA26</v>
          </cell>
          <cell r="G697" t="str">
            <v>MT 2026 - FA Fall - 24</v>
          </cell>
          <cell r="H697" t="str">
            <v>Y</v>
          </cell>
          <cell r="I697" t="str">
            <v>474</v>
          </cell>
          <cell r="J697">
            <v>810076214740</v>
          </cell>
          <cell r="K697">
            <v>50810076214745</v>
          </cell>
          <cell r="L697">
            <v>30810076214741</v>
          </cell>
          <cell r="M697">
            <v>0</v>
          </cell>
          <cell r="N697">
            <v>1</v>
          </cell>
        </row>
        <row r="698">
          <cell r="F698" t="str">
            <v>LL-DISP-FA-WN26</v>
          </cell>
          <cell r="G698" t="str">
            <v>MT 2026 - FA Winter - 24</v>
          </cell>
          <cell r="H698" t="str">
            <v>Y</v>
          </cell>
          <cell r="I698" t="str">
            <v>475</v>
          </cell>
          <cell r="J698">
            <v>810076214757</v>
          </cell>
          <cell r="K698">
            <v>50810076214752</v>
          </cell>
          <cell r="L698">
            <v>30810076214758</v>
          </cell>
          <cell r="M698">
            <v>0</v>
          </cell>
          <cell r="N698">
            <v>1</v>
          </cell>
        </row>
        <row r="699">
          <cell r="F699" t="str">
            <v>LL-DISP-WR2</v>
          </cell>
          <cell r="G699" t="str">
            <v>MT 2026 - Writing Display - 32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LL-DISP-WR1</v>
          </cell>
          <cell r="G700" t="str">
            <v>MT 2026 - Writing Display - 46</v>
          </cell>
          <cell r="H700" t="str">
            <v>Y</v>
          </cell>
          <cell r="I700" t="str">
            <v/>
          </cell>
          <cell r="M700">
            <v>0</v>
          </cell>
          <cell r="N700">
            <v>1</v>
          </cell>
        </row>
        <row r="701">
          <cell r="F701" t="str">
            <v>LL-RO-FA48</v>
          </cell>
          <cell r="G701" t="str">
            <v>MT 2026 - FA REORDER - 48</v>
          </cell>
          <cell r="H701" t="str">
            <v>Y</v>
          </cell>
          <cell r="I701" t="str">
            <v/>
          </cell>
          <cell r="M701">
            <v>0</v>
          </cell>
          <cell r="N701">
            <v>1</v>
          </cell>
        </row>
        <row r="702">
          <cell r="F702" t="str">
            <v>LL-TWR-FA160</v>
          </cell>
          <cell r="G702" t="str">
            <v>MT 2026 - FA Tower - 160</v>
          </cell>
          <cell r="H702" t="str">
            <v>Y</v>
          </cell>
          <cell r="I702" t="str">
            <v/>
          </cell>
          <cell r="M702">
            <v>0</v>
          </cell>
          <cell r="N702">
            <v>1</v>
          </cell>
        </row>
        <row r="703">
          <cell r="F703" t="str">
            <v>LL-DISP-FA2</v>
          </cell>
          <cell r="G703" t="str">
            <v>MT 2026 - FA Display - 36</v>
          </cell>
          <cell r="H703" t="str">
            <v>Y</v>
          </cell>
          <cell r="I703" t="str">
            <v/>
          </cell>
          <cell r="M703">
            <v>0</v>
          </cell>
          <cell r="N703">
            <v>1</v>
          </cell>
        </row>
        <row r="704">
          <cell r="F704" t="str">
            <v>LL-00-0016</v>
          </cell>
          <cell r="G704" t="str">
            <v>FA - Counter Display - Full - 36</v>
          </cell>
          <cell r="H704" t="str">
            <v>Y</v>
          </cell>
          <cell r="I704" t="str">
            <v>439</v>
          </cell>
          <cell r="J704">
            <v>810076214399</v>
          </cell>
          <cell r="K704">
            <v>50810076214394</v>
          </cell>
          <cell r="L704">
            <v>30810076214390</v>
          </cell>
          <cell r="M704">
            <v>0</v>
          </cell>
          <cell r="N704">
            <v>1</v>
          </cell>
          <cell r="P704">
            <v>180</v>
          </cell>
        </row>
        <row r="705">
          <cell r="F705" t="str">
            <v>LL-DISP-FA1</v>
          </cell>
          <cell r="G705" t="str">
            <v>MT 2026 - FA Display - 80</v>
          </cell>
          <cell r="H705" t="str">
            <v>Y</v>
          </cell>
          <cell r="I705" t="str">
            <v/>
          </cell>
          <cell r="M705">
            <v>0</v>
          </cell>
          <cell r="N705">
            <v>1</v>
          </cell>
        </row>
        <row r="706">
          <cell r="F706" t="str">
            <v>LL-00-0004</v>
          </cell>
          <cell r="G706" t="str">
            <v>FlowArt - Spinner Tower - Empty</v>
          </cell>
          <cell r="H706" t="str">
            <v>N</v>
          </cell>
          <cell r="I706" t="str">
            <v>317</v>
          </cell>
          <cell r="J706">
            <v>810076213170</v>
          </cell>
          <cell r="K706">
            <v>50810076213175</v>
          </cell>
          <cell r="L706">
            <v>30810076213171</v>
          </cell>
          <cell r="M706">
            <v>0</v>
          </cell>
          <cell r="N706">
            <v>1</v>
          </cell>
        </row>
        <row r="707">
          <cell r="F707" t="str">
            <v>LL-00-0018</v>
          </cell>
          <cell r="G707" t="str">
            <v>FlowArt - Spinner Tower - Full - 80</v>
          </cell>
          <cell r="H707" t="str">
            <v>Y</v>
          </cell>
          <cell r="I707" t="str">
            <v>441</v>
          </cell>
          <cell r="J707">
            <v>810076214412</v>
          </cell>
          <cell r="K707">
            <v>50810076214417</v>
          </cell>
          <cell r="L707">
            <v>30810076214413</v>
          </cell>
          <cell r="M707">
            <v>0</v>
          </cell>
          <cell r="N707">
            <v>1</v>
          </cell>
          <cell r="P707">
            <v>400</v>
          </cell>
        </row>
        <row r="708">
          <cell r="F708" t="str">
            <v>LL-00-0036</v>
          </cell>
          <cell r="G708" t="str">
            <v>FlowArt - DBL - Full - 4</v>
          </cell>
          <cell r="H708" t="str">
            <v>Y</v>
          </cell>
          <cell r="I708" t="str">
            <v>611</v>
          </cell>
          <cell r="J708">
            <v>810076216119</v>
          </cell>
          <cell r="K708">
            <v>50810076216114</v>
          </cell>
          <cell r="L708">
            <v>30810076216110</v>
          </cell>
          <cell r="M708">
            <v>0</v>
          </cell>
          <cell r="N708">
            <v>1</v>
          </cell>
        </row>
        <row r="709">
          <cell r="F709" t="str">
            <v>LL-99-0036</v>
          </cell>
          <cell r="G709" t="str">
            <v>FlowArt - DBL - Empty - 4</v>
          </cell>
          <cell r="H709" t="str">
            <v>N</v>
          </cell>
          <cell r="I709" t="str">
            <v>612</v>
          </cell>
          <cell r="J709">
            <v>810076216126</v>
          </cell>
          <cell r="K709">
            <v>50810076216121</v>
          </cell>
          <cell r="L709">
            <v>30810076216127</v>
          </cell>
          <cell r="M709">
            <v>0</v>
          </cell>
          <cell r="N709">
            <v>1</v>
          </cell>
        </row>
        <row r="710">
          <cell r="F710" t="str">
            <v>LL-TOTE-BAG1</v>
          </cell>
          <cell r="G710" t="str">
            <v>Lifelines Tote</v>
          </cell>
          <cell r="H710" t="str">
            <v>N</v>
          </cell>
          <cell r="I710" t="str">
            <v/>
          </cell>
          <cell r="M710">
            <v>0</v>
          </cell>
          <cell r="N710">
            <v>100</v>
          </cell>
        </row>
        <row r="711">
          <cell r="F711" t="str">
            <v>99-9101</v>
          </cell>
          <cell r="G711" t="str">
            <v>Assortment, PDQ - Oil Blends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99-9500</v>
          </cell>
          <cell r="G712" t="str">
            <v>Assortment, PDQ - Scented Writing Essentials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99-9505</v>
          </cell>
          <cell r="G713" t="str">
            <v>Tabletop Writing Display - Assortment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DS01-1001</v>
          </cell>
          <cell r="G714" t="str">
            <v>TYT Journal + CMA Pen + Pencils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DS01-1002</v>
          </cell>
          <cell r="G715" t="str">
            <v>SIU BG + CMA Pen + Pencils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DS01-1003</v>
          </cell>
          <cell r="G716" t="str">
            <v>Everyday Diffuser + Discovery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DS01-1004</v>
          </cell>
          <cell r="G717" t="str">
            <v>Waves + CMA 4Pck</v>
          </cell>
          <cell r="H717" t="str">
            <v>N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DS01-1005</v>
          </cell>
          <cell r="G718" t="str">
            <v>Motion Fidget + Discovery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 t="str">
            <v>DS01-1006</v>
          </cell>
          <cell r="G719" t="str">
            <v>Meditative Fidget + Discovery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</row>
        <row r="720">
          <cell r="F720" t="str">
            <v>DS01-1007</v>
          </cell>
          <cell r="G720" t="str">
            <v>Gift Set + CMA Pen + Workbook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</row>
        <row r="721">
          <cell r="F721" t="str">
            <v>DS01-1008</v>
          </cell>
          <cell r="G721" t="str">
            <v>Lifelines Bath and Shower Diffuser Set</v>
          </cell>
          <cell r="H721" t="str">
            <v>N</v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</row>
        <row r="722">
          <cell r="F722" t="str">
            <v>99-8302</v>
          </cell>
          <cell r="G722" t="str">
            <v>2024 BNC Spring Shipper Replen</v>
          </cell>
          <cell r="H722" t="str">
            <v>N</v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</row>
        <row r="723">
          <cell r="F723" t="str">
            <v>99-8501</v>
          </cell>
          <cell r="G723" t="str">
            <v>BNC Writing Counter Display</v>
          </cell>
          <cell r="H723" t="str">
            <v>Y</v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</row>
        <row r="724">
          <cell r="F724" t="str">
            <v>99-9002</v>
          </cell>
          <cell r="G724" t="str">
            <v>Assortment, PDQ - Aroma Introduction</v>
          </cell>
          <cell r="H724" t="str">
            <v>N</v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</row>
        <row r="725">
          <cell r="F725">
            <v>999003</v>
          </cell>
          <cell r="G725" t="str">
            <v>BNC Floor Display</v>
          </cell>
          <cell r="H725" t="str">
            <v>N</v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</row>
        <row r="726">
          <cell r="F726">
            <v>999004</v>
          </cell>
          <cell r="G726" t="str">
            <v>Empty BNC Floor Display</v>
          </cell>
          <cell r="H726" t="str">
            <v>N</v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</row>
        <row r="727">
          <cell r="F727" t="str">
            <v>LL-98-3220</v>
          </cell>
          <cell r="G727" t="str">
            <v>FlowArt 2Pck:TbLetter + Within [3206 + 3207]</v>
          </cell>
          <cell r="H727" t="str">
            <v>N</v>
          </cell>
          <cell r="I727" t="str">
            <v>392</v>
          </cell>
          <cell r="J727">
            <v>810076213927</v>
          </cell>
          <cell r="K727">
            <v>50810076213922</v>
          </cell>
          <cell r="L727">
            <v>30810076213928</v>
          </cell>
          <cell r="N727">
            <v>20</v>
          </cell>
          <cell r="O727">
            <v>29.99</v>
          </cell>
          <cell r="P727">
            <v>14.994999999999999</v>
          </cell>
        </row>
        <row r="728">
          <cell r="F728" t="str">
            <v>LL-20-3304</v>
          </cell>
          <cell r="G728" t="str">
            <v>FlowArt: Mini, Holiday 3Pck #2</v>
          </cell>
          <cell r="H728" t="str">
            <v>Y</v>
          </cell>
          <cell r="I728" t="str">
            <v>491</v>
          </cell>
          <cell r="J728">
            <v>810076214917</v>
          </cell>
          <cell r="K728">
            <v>50810076214912</v>
          </cell>
          <cell r="L728">
            <v>30810076214918</v>
          </cell>
        </row>
        <row r="729">
          <cell r="F729" t="str">
            <v>LL-20-3226</v>
          </cell>
          <cell r="G729" t="str">
            <v>FlowArt: Mini, 3Pck #3</v>
          </cell>
          <cell r="H729" t="str">
            <v>N</v>
          </cell>
          <cell r="I729" t="str">
            <v>398</v>
          </cell>
          <cell r="J729">
            <v>810076213989</v>
          </cell>
          <cell r="K729">
            <v>50810076213984</v>
          </cell>
          <cell r="L729">
            <v>30810076213980</v>
          </cell>
          <cell r="M729">
            <v>4</v>
          </cell>
          <cell r="N729">
            <v>12</v>
          </cell>
          <cell r="O729">
            <v>19.989999999999998</v>
          </cell>
          <cell r="P729">
            <v>9.9949999999999992</v>
          </cell>
        </row>
        <row r="730">
          <cell r="F730" t="str">
            <v>LL-20-3252</v>
          </cell>
          <cell r="G730" t="str">
            <v>FlowArt: Mini Single - Holiday Cheer</v>
          </cell>
          <cell r="H730" t="str">
            <v>Y</v>
          </cell>
          <cell r="I730" t="str">
            <v>426</v>
          </cell>
          <cell r="J730">
            <v>810076214269</v>
          </cell>
          <cell r="K730">
            <v>50810076214264</v>
          </cell>
          <cell r="L730">
            <v>30810076214260</v>
          </cell>
          <cell r="M730">
            <v>6</v>
          </cell>
          <cell r="N730">
            <v>24</v>
          </cell>
          <cell r="O730">
            <v>6.99</v>
          </cell>
          <cell r="P730">
            <v>3.4950000000000001</v>
          </cell>
        </row>
        <row r="731">
          <cell r="F731" t="str">
            <v>LL-20-3253</v>
          </cell>
          <cell r="G731" t="str">
            <v>FlowArt: Mini Single - Sugar &amp; Spice</v>
          </cell>
          <cell r="H731" t="str">
            <v>Y</v>
          </cell>
          <cell r="I731" t="str">
            <v>427</v>
          </cell>
          <cell r="J731">
            <v>810076214276</v>
          </cell>
          <cell r="K731">
            <v>50810076214271</v>
          </cell>
          <cell r="L731">
            <v>30810076214277</v>
          </cell>
          <cell r="M731">
            <v>6</v>
          </cell>
          <cell r="N731">
            <v>24</v>
          </cell>
          <cell r="O731">
            <v>6.99</v>
          </cell>
          <cell r="P731">
            <v>3.4950000000000001</v>
          </cell>
        </row>
        <row r="732">
          <cell r="F732" t="str">
            <v>LL-20-3254</v>
          </cell>
          <cell r="G732" t="str">
            <v>FlowArt: Mini Single - Merry &amp; Bright</v>
          </cell>
          <cell r="H732" t="str">
            <v>Y</v>
          </cell>
          <cell r="I732" t="str">
            <v>428</v>
          </cell>
          <cell r="J732">
            <v>810076214283</v>
          </cell>
          <cell r="K732">
            <v>50810076214288</v>
          </cell>
          <cell r="L732">
            <v>30810076214284</v>
          </cell>
          <cell r="M732">
            <v>6</v>
          </cell>
          <cell r="N732">
            <v>24</v>
          </cell>
          <cell r="O732">
            <v>6.99</v>
          </cell>
          <cell r="P732">
            <v>3.4950000000000001</v>
          </cell>
        </row>
        <row r="733">
          <cell r="F733" t="str">
            <v>LL-20-3268</v>
          </cell>
          <cell r="G733" t="str">
            <v>FlowArt Minis: Nature's Wonder - WMT</v>
          </cell>
          <cell r="H733" t="str">
            <v>N</v>
          </cell>
          <cell r="I733" t="str">
            <v>450</v>
          </cell>
          <cell r="J733">
            <v>810076214504</v>
          </cell>
          <cell r="K733">
            <v>50810076214509</v>
          </cell>
          <cell r="L733">
            <v>30810076214505</v>
          </cell>
          <cell r="M733">
            <v>6</v>
          </cell>
          <cell r="N733">
            <v>24</v>
          </cell>
          <cell r="O733">
            <v>6.99</v>
          </cell>
          <cell r="P733">
            <v>3.4950000000000001</v>
          </cell>
        </row>
        <row r="734">
          <cell r="F734" t="str">
            <v>LL-20-3269</v>
          </cell>
          <cell r="G734" t="str">
            <v>FlowArt Minis: Furry Friends - WMT</v>
          </cell>
          <cell r="H734" t="str">
            <v>N</v>
          </cell>
          <cell r="I734" t="str">
            <v>451</v>
          </cell>
          <cell r="J734">
            <v>810076214511</v>
          </cell>
          <cell r="K734">
            <v>50810076214516</v>
          </cell>
          <cell r="L734">
            <v>30810076214512</v>
          </cell>
          <cell r="M734">
            <v>6</v>
          </cell>
          <cell r="N734">
            <v>24</v>
          </cell>
          <cell r="O734">
            <v>6.99</v>
          </cell>
          <cell r="P734">
            <v>3.4950000000000001</v>
          </cell>
        </row>
        <row r="735">
          <cell r="F735" t="str">
            <v>LL-20-3270</v>
          </cell>
          <cell r="G735" t="str">
            <v>FlowArt Minis: Pretty Petals - WMT</v>
          </cell>
          <cell r="H735" t="str">
            <v>N</v>
          </cell>
          <cell r="I735" t="str">
            <v>452</v>
          </cell>
          <cell r="J735">
            <v>810076214528</v>
          </cell>
          <cell r="K735">
            <v>50810076214523</v>
          </cell>
          <cell r="L735">
            <v>30810076214529</v>
          </cell>
          <cell r="M735">
            <v>6</v>
          </cell>
          <cell r="N735">
            <v>24</v>
          </cell>
          <cell r="O735">
            <v>6.99</v>
          </cell>
          <cell r="P735">
            <v>3.4950000000000001</v>
          </cell>
        </row>
        <row r="736">
          <cell r="F736" t="str">
            <v>LL-16-3262</v>
          </cell>
          <cell r="G736" t="str">
            <v>FlowArt Trace By Line: Holiday Icons  - WMT</v>
          </cell>
          <cell r="H736" t="str">
            <v>N</v>
          </cell>
          <cell r="I736" t="str">
            <v>444</v>
          </cell>
          <cell r="J736">
            <v>810076214443</v>
          </cell>
          <cell r="K736">
            <v>50810076214448</v>
          </cell>
          <cell r="L736">
            <v>30810076214444</v>
          </cell>
          <cell r="M736">
            <v>6</v>
          </cell>
          <cell r="N736">
            <v>24</v>
          </cell>
          <cell r="O736">
            <v>10</v>
          </cell>
          <cell r="P736">
            <v>5</v>
          </cell>
        </row>
        <row r="737">
          <cell r="F737" t="str">
            <v>LL-16-3264</v>
          </cell>
          <cell r="G737" t="str">
            <v>FlowArt Dot-By-Letter: Woodland Wonders - WMT</v>
          </cell>
          <cell r="H737" t="str">
            <v>N</v>
          </cell>
          <cell r="I737" t="str">
            <v>446</v>
          </cell>
          <cell r="J737">
            <v>810076214467</v>
          </cell>
          <cell r="K737">
            <v>50810076214462</v>
          </cell>
          <cell r="L737">
            <v>30810076214468</v>
          </cell>
          <cell r="M737">
            <v>6</v>
          </cell>
          <cell r="N737">
            <v>24</v>
          </cell>
          <cell r="O737">
            <v>10</v>
          </cell>
          <cell r="P737">
            <v>5</v>
          </cell>
        </row>
        <row r="738">
          <cell r="F738" t="str">
            <v>LL-16-3265</v>
          </cell>
          <cell r="G738" t="str">
            <v>FlowArt Dot-By Letter: Majestic Earth - WMT [Metallic]</v>
          </cell>
          <cell r="H738" t="str">
            <v>N</v>
          </cell>
          <cell r="I738" t="str">
            <v>447</v>
          </cell>
          <cell r="J738">
            <v>810076214474</v>
          </cell>
          <cell r="K738">
            <v>50810076214479</v>
          </cell>
          <cell r="L738">
            <v>30810076214475</v>
          </cell>
          <cell r="M738">
            <v>6</v>
          </cell>
          <cell r="N738">
            <v>24</v>
          </cell>
          <cell r="O738">
            <v>10</v>
          </cell>
          <cell r="P738">
            <v>5</v>
          </cell>
        </row>
        <row r="739">
          <cell r="F739" t="str">
            <v>LL-16-3260</v>
          </cell>
          <cell r="G739" t="str">
            <v>FlowArt Dot-By-Letter: Holiday Classic  - WMT</v>
          </cell>
          <cell r="H739" t="str">
            <v>N</v>
          </cell>
          <cell r="I739" t="str">
            <v>442</v>
          </cell>
          <cell r="J739">
            <v>810076214429</v>
          </cell>
          <cell r="K739">
            <v>50810076214424</v>
          </cell>
          <cell r="L739">
            <v>30810076214420</v>
          </cell>
          <cell r="M739">
            <v>6</v>
          </cell>
          <cell r="N739">
            <v>24</v>
          </cell>
          <cell r="O739">
            <v>10</v>
          </cell>
          <cell r="P739">
            <v>5</v>
          </cell>
        </row>
        <row r="740">
          <cell r="F740" t="str">
            <v>LL-16-3267</v>
          </cell>
          <cell r="G740" t="str">
            <v>FlowArt Trace By Line: Sea Life Wonders - WMT</v>
          </cell>
          <cell r="H740" t="str">
            <v>N</v>
          </cell>
          <cell r="I740" t="str">
            <v>449</v>
          </cell>
          <cell r="J740">
            <v>810076214498</v>
          </cell>
          <cell r="K740">
            <v>50810076214493</v>
          </cell>
          <cell r="L740">
            <v>30810076214499</v>
          </cell>
          <cell r="M740">
            <v>6</v>
          </cell>
          <cell r="N740">
            <v>24</v>
          </cell>
          <cell r="O740">
            <v>10</v>
          </cell>
          <cell r="P740">
            <v>5</v>
          </cell>
        </row>
        <row r="741">
          <cell r="F741" t="str">
            <v>LL-16-3282</v>
          </cell>
          <cell r="G741" t="str">
            <v>FlowArt Dot-By-Letter Metallic Theme TBD 2 - WMT</v>
          </cell>
          <cell r="H741" t="str">
            <v>N</v>
          </cell>
          <cell r="I741" t="str">
            <v>469</v>
          </cell>
          <cell r="J741">
            <v>810076214696</v>
          </cell>
          <cell r="K741">
            <v>50810076214691</v>
          </cell>
          <cell r="L741">
            <v>30810076214697</v>
          </cell>
          <cell r="M741">
            <v>6</v>
          </cell>
          <cell r="N741">
            <v>24</v>
          </cell>
          <cell r="O741">
            <v>10</v>
          </cell>
          <cell r="P741">
            <v>5</v>
          </cell>
        </row>
        <row r="742">
          <cell r="F742" t="str">
            <v>LL-16-3143</v>
          </cell>
          <cell r="G742" t="str">
            <v>FlowArt: Illuminate &amp; Create, Wildlife - WALMART PKG</v>
          </cell>
          <cell r="H742" t="str">
            <v>N</v>
          </cell>
          <cell r="I742" t="str">
            <v>286</v>
          </cell>
          <cell r="J742">
            <v>810076212869</v>
          </cell>
          <cell r="K742">
            <v>50810076212864</v>
          </cell>
          <cell r="L742">
            <v>30810076212860</v>
          </cell>
        </row>
        <row r="743">
          <cell r="F743" t="str">
            <v>LL-12-3131</v>
          </cell>
          <cell r="G743" t="str">
            <v>Scented Lava Pen Set- 5-pack  - WALMART PKG</v>
          </cell>
          <cell r="H743" t="str">
            <v>Y</v>
          </cell>
          <cell r="I743" t="str">
            <v>274</v>
          </cell>
          <cell r="J743">
            <v>810076212746</v>
          </cell>
          <cell r="K743">
            <v>50810076212741</v>
          </cell>
          <cell r="L743">
            <v>30810076212747</v>
          </cell>
        </row>
        <row r="744">
          <cell r="F744" t="str">
            <v>LL-16-3142</v>
          </cell>
          <cell r="G744" t="str">
            <v>FlowArt: Illuminate &amp; Create, Foliage and Flowers - WALMART PKG</v>
          </cell>
          <cell r="H744" t="str">
            <v>Y</v>
          </cell>
          <cell r="I744" t="str">
            <v>285</v>
          </cell>
          <cell r="J744">
            <v>810076212852</v>
          </cell>
          <cell r="K744">
            <v>50810076212857</v>
          </cell>
          <cell r="L744">
            <v>30810076212853</v>
          </cell>
        </row>
        <row r="745">
          <cell r="F745" t="str">
            <v>LL-12-3135</v>
          </cell>
          <cell r="G745" t="str">
            <v>Pen Diffuser with Essential Oil Blends -  Strawberry Milkshake - WALMART PKG</v>
          </cell>
          <cell r="H745" t="str">
            <v>Y</v>
          </cell>
          <cell r="I745" t="str">
            <v>278</v>
          </cell>
          <cell r="J745">
            <v>810076212784</v>
          </cell>
          <cell r="K745">
            <v>50810076212789</v>
          </cell>
          <cell r="L745">
            <v>30810076212785</v>
          </cell>
        </row>
        <row r="746">
          <cell r="F746" t="str">
            <v>LL-12-3134</v>
          </cell>
          <cell r="G746" t="str">
            <v>Scented Lava Pen Set - 2-pack (Lime Green / Violet)  - WALMART PKG</v>
          </cell>
          <cell r="H746" t="str">
            <v>N</v>
          </cell>
          <cell r="I746" t="str">
            <v>277</v>
          </cell>
          <cell r="J746">
            <v>810076212777</v>
          </cell>
          <cell r="K746">
            <v>50810076212772</v>
          </cell>
          <cell r="L746">
            <v>30810076212778</v>
          </cell>
        </row>
        <row r="747">
          <cell r="F747" t="str">
            <v>LL-14-3145</v>
          </cell>
          <cell r="G747" t="str">
            <v>DIFFUSER, LED,Bubble (Cream) - WALMART PKG</v>
          </cell>
          <cell r="H747" t="str">
            <v>N</v>
          </cell>
          <cell r="I747" t="str">
            <v>288</v>
          </cell>
          <cell r="J747">
            <v>810076212883</v>
          </cell>
          <cell r="K747">
            <v>50810076212888</v>
          </cell>
          <cell r="L747">
            <v>30810076212884</v>
          </cell>
        </row>
        <row r="748">
          <cell r="F748" t="str">
            <v>LL-14-3147</v>
          </cell>
          <cell r="G748" t="str">
            <v>Plant Diffuser - Succulent - Two Toned - WALMART PKG</v>
          </cell>
          <cell r="H748" t="str">
            <v>N</v>
          </cell>
          <cell r="I748" t="str">
            <v>290</v>
          </cell>
          <cell r="J748">
            <v>810076212906</v>
          </cell>
          <cell r="K748">
            <v>50810076212901</v>
          </cell>
          <cell r="L748">
            <v>30810076212907</v>
          </cell>
        </row>
        <row r="749">
          <cell r="F749" t="str">
            <v>LL-98-3171</v>
          </cell>
          <cell r="G749" t="str">
            <v>Ultimate Essential Oil Gift Set with EDPD - WALMART PKG</v>
          </cell>
          <cell r="H749" t="str">
            <v>N</v>
          </cell>
          <cell r="I749" t="str">
            <v>315</v>
          </cell>
          <cell r="J749">
            <v>810076213156</v>
          </cell>
          <cell r="K749">
            <v>50810076213151</v>
          </cell>
          <cell r="L749">
            <v>30810076213157</v>
          </cell>
        </row>
        <row r="750">
          <cell r="F750" t="str">
            <v>LL-11-3087</v>
          </cell>
          <cell r="G750" t="str">
            <v>Clickwick 2PK - SKU 5</v>
          </cell>
          <cell r="H750" t="str">
            <v>N</v>
          </cell>
          <cell r="I750" t="str">
            <v>215</v>
          </cell>
          <cell r="J750">
            <v>810076212159</v>
          </cell>
          <cell r="K750">
            <v>50810076212154</v>
          </cell>
          <cell r="L750">
            <v>30810076212150</v>
          </cell>
          <cell r="O750">
            <v>26.99</v>
          </cell>
          <cell r="P750">
            <v>13.494999999999999</v>
          </cell>
        </row>
        <row r="751">
          <cell r="F751" t="str">
            <v>LL-11-3088</v>
          </cell>
          <cell r="G751" t="str">
            <v>Clickwick 2PK - SKU 6</v>
          </cell>
          <cell r="H751" t="str">
            <v>N</v>
          </cell>
          <cell r="I751" t="str">
            <v>216</v>
          </cell>
          <cell r="J751">
            <v>810076212166</v>
          </cell>
          <cell r="K751">
            <v>50810076212161</v>
          </cell>
          <cell r="L751">
            <v>30810076212167</v>
          </cell>
          <cell r="O751">
            <v>14.99</v>
          </cell>
          <cell r="P751">
            <v>7.4950000000000001</v>
          </cell>
        </row>
        <row r="752">
          <cell r="F752" t="str">
            <v>LL-11-3089</v>
          </cell>
          <cell r="G752" t="str">
            <v>Clickwick 2PK - SKU 7</v>
          </cell>
          <cell r="H752" t="str">
            <v>N</v>
          </cell>
          <cell r="I752" t="str">
            <v>217</v>
          </cell>
          <cell r="J752">
            <v>810076212173</v>
          </cell>
          <cell r="K752">
            <v>50810076212178</v>
          </cell>
          <cell r="L752">
            <v>30810076212174</v>
          </cell>
          <cell r="O752">
            <v>14.99</v>
          </cell>
          <cell r="P752">
            <v>7.4950000000000001</v>
          </cell>
        </row>
        <row r="753">
          <cell r="F753">
            <v>165002</v>
          </cell>
          <cell r="G753" t="str">
            <v>FlowArt - Pattern art - Fur &amp; feathers</v>
          </cell>
          <cell r="H753" t="str">
            <v>N</v>
          </cell>
          <cell r="I753" t="str">
            <v>147</v>
          </cell>
          <cell r="J753">
            <v>810076211473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>
            <v>165003</v>
          </cell>
          <cell r="G754" t="str">
            <v>FlowArt - Multiline art - Land</v>
          </cell>
          <cell r="H754" t="str">
            <v>N</v>
          </cell>
          <cell r="I754" t="str">
            <v>148</v>
          </cell>
          <cell r="J754">
            <v>810076211480</v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</row>
        <row r="755">
          <cell r="F755">
            <v>165004</v>
          </cell>
          <cell r="G755" t="str">
            <v>FlowArt - Mosaic art - Flora &amp; Fauna</v>
          </cell>
          <cell r="H755" t="str">
            <v>Y</v>
          </cell>
          <cell r="I755" t="str">
            <v>149</v>
          </cell>
          <cell r="J755">
            <v>810076211497</v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</row>
        <row r="756">
          <cell r="F756">
            <v>165010</v>
          </cell>
          <cell r="G756" t="str">
            <v>FlowArt - Pogo-dot - In the Garden</v>
          </cell>
          <cell r="H756" t="str">
            <v>N</v>
          </cell>
          <cell r="I756" t="str">
            <v>155</v>
          </cell>
          <cell r="J756">
            <v>810076211558</v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</row>
        <row r="757">
          <cell r="F757">
            <v>165011</v>
          </cell>
          <cell r="G757" t="str">
            <v>FlowArt - Dot-pop - Sea</v>
          </cell>
          <cell r="H757" t="str">
            <v>N</v>
          </cell>
          <cell r="I757" t="str">
            <v>156</v>
          </cell>
          <cell r="J757">
            <v>810076211565</v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</row>
        <row r="758">
          <cell r="F758">
            <v>165013</v>
          </cell>
          <cell r="G758" t="str">
            <v>FlowArt - Multiline art - Sea</v>
          </cell>
          <cell r="H758" t="str">
            <v>N</v>
          </cell>
          <cell r="I758" t="str">
            <v>158</v>
          </cell>
          <cell r="J758">
            <v>810076211589</v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</row>
        <row r="759">
          <cell r="F759">
            <v>167003</v>
          </cell>
          <cell r="G759" t="str">
            <v>Decor Art - Stencil Stationery</v>
          </cell>
          <cell r="H759" t="str">
            <v>N</v>
          </cell>
          <cell r="I759" t="str">
            <v>162</v>
          </cell>
          <cell r="J759">
            <v>810076211626</v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</row>
        <row r="760">
          <cell r="F760" t="str">
            <v>11-1613</v>
          </cell>
          <cell r="G760" t="str">
            <v>DIFFUSER, LED,Frosted Glass (Amber)</v>
          </cell>
          <cell r="H760" t="str">
            <v>N</v>
          </cell>
          <cell r="I760" t="str">
            <v>088</v>
          </cell>
          <cell r="J760">
            <v>810076210889</v>
          </cell>
          <cell r="K760" t="str">
            <v/>
          </cell>
          <cell r="L760" t="str">
            <v/>
          </cell>
        </row>
        <row r="761">
          <cell r="F761" t="str">
            <v>11-1614</v>
          </cell>
          <cell r="G761" t="str">
            <v>DIFFUSER, LED,Vertical Ribbed (White)</v>
          </cell>
          <cell r="H761" t="str">
            <v>N</v>
          </cell>
          <cell r="I761" t="str">
            <v>089</v>
          </cell>
          <cell r="J761">
            <v>810076210896</v>
          </cell>
          <cell r="K761" t="str">
            <v/>
          </cell>
          <cell r="L761" t="str">
            <v/>
          </cell>
        </row>
        <row r="762">
          <cell r="F762" t="str">
            <v>11-1615</v>
          </cell>
          <cell r="G762" t="str">
            <v>DIFFUSER, LED, Two Tone</v>
          </cell>
          <cell r="H762" t="str">
            <v>N</v>
          </cell>
          <cell r="I762" t="str">
            <v>090</v>
          </cell>
          <cell r="J762">
            <v>810076210902</v>
          </cell>
          <cell r="K762" t="str">
            <v/>
          </cell>
          <cell r="L762" t="str">
            <v/>
          </cell>
        </row>
        <row r="763">
          <cell r="F763" t="str">
            <v>11-1610</v>
          </cell>
          <cell r="G763" t="str">
            <v>Planter Diffuser -  Octagon (Cream)</v>
          </cell>
          <cell r="H763" t="str">
            <v>N</v>
          </cell>
          <cell r="I763" t="str">
            <v>095</v>
          </cell>
          <cell r="J763">
            <v>810076210957</v>
          </cell>
          <cell r="K763" t="str">
            <v/>
          </cell>
          <cell r="L763" t="str">
            <v/>
          </cell>
        </row>
        <row r="764">
          <cell r="F764" t="str">
            <v>16-0107</v>
          </cell>
          <cell r="G764" t="str">
            <v>Finger Maze Sensory Journal</v>
          </cell>
          <cell r="H764" t="str">
            <v>N</v>
          </cell>
          <cell r="I764" t="str">
            <v>100</v>
          </cell>
          <cell r="J764">
            <v>810076211008</v>
          </cell>
          <cell r="K764" t="str">
            <v/>
          </cell>
          <cell r="L764" t="str">
            <v/>
          </cell>
        </row>
        <row r="765">
          <cell r="F765" t="str">
            <v>LL-11-2522</v>
          </cell>
          <cell r="G765" t="str">
            <v>Lifelines Pen Diffuser with Essential Oil Blends -Diner (UO exclusive)</v>
          </cell>
          <cell r="H765" t="str">
            <v>N</v>
          </cell>
          <cell r="I765" t="str">
            <v>225</v>
          </cell>
          <cell r="J765">
            <v>810076212258</v>
          </cell>
          <cell r="K765">
            <v>50810076212253</v>
          </cell>
          <cell r="L765">
            <v>30810076212259</v>
          </cell>
          <cell r="O765">
            <v>39.99</v>
          </cell>
          <cell r="P765">
            <v>19.995000000000001</v>
          </cell>
        </row>
        <row r="766">
          <cell r="F766" t="str">
            <v>LL-11-2523</v>
          </cell>
          <cell r="G766" t="str">
            <v>Lifelines Pen Diffuser with Essential Oil Blends -Café  (UO exclusive)</v>
          </cell>
          <cell r="H766" t="str">
            <v>N</v>
          </cell>
          <cell r="I766" t="str">
            <v>226</v>
          </cell>
          <cell r="J766">
            <v>810076212265</v>
          </cell>
          <cell r="K766">
            <v>50810076212260</v>
          </cell>
          <cell r="L766">
            <v>30810076212266</v>
          </cell>
          <cell r="O766">
            <v>39.99</v>
          </cell>
          <cell r="P766">
            <v>19.995000000000001</v>
          </cell>
        </row>
        <row r="767">
          <cell r="F767" t="str">
            <v>LL-12-3238</v>
          </cell>
          <cell r="G767" t="str">
            <v>Mindful Motion Pen, Swirl 2Pck (X / X)</v>
          </cell>
          <cell r="H767" t="str">
            <v>Y</v>
          </cell>
          <cell r="I767" t="str">
            <v>412</v>
          </cell>
          <cell r="J767">
            <v>810076214122</v>
          </cell>
          <cell r="K767">
            <v>50810076214127</v>
          </cell>
          <cell r="L767">
            <v>30810076214123</v>
          </cell>
          <cell r="M767">
            <v>4</v>
          </cell>
          <cell r="N767">
            <v>12</v>
          </cell>
          <cell r="O767">
            <v>12.99</v>
          </cell>
          <cell r="P767">
            <v>6.4950000000000001</v>
          </cell>
        </row>
        <row r="768">
          <cell r="F768">
            <v>989518</v>
          </cell>
          <cell r="G768" t="str">
            <v>Lifelines Frosted Cream Candle with Clickwick (11-1603 &amp; 110455 Woodsy)</v>
          </cell>
          <cell r="H768" t="str">
            <v>N</v>
          </cell>
          <cell r="I768" t="str">
            <v>139</v>
          </cell>
          <cell r="J768">
            <v>810076211398</v>
          </cell>
          <cell r="K768" t="str">
            <v/>
          </cell>
          <cell r="L768" t="str">
            <v/>
          </cell>
          <cell r="O768">
            <v>41.98</v>
          </cell>
          <cell r="P768">
            <v>20.99</v>
          </cell>
        </row>
        <row r="769">
          <cell r="F769">
            <v>989519</v>
          </cell>
          <cell r="G769" t="str">
            <v>Lifelines Frosted Charcoal Candle with Clickwick (11-1612 &amp; 110454 Citrus/Bloom)</v>
          </cell>
          <cell r="H769" t="str">
            <v>N</v>
          </cell>
          <cell r="I769" t="str">
            <v>140</v>
          </cell>
          <cell r="J769">
            <v>810076211404</v>
          </cell>
          <cell r="K769" t="str">
            <v/>
          </cell>
          <cell r="L769" t="str">
            <v/>
          </cell>
          <cell r="O769">
            <v>41.98</v>
          </cell>
          <cell r="P769">
            <v>20.99</v>
          </cell>
        </row>
        <row r="770">
          <cell r="F770">
            <v>989520</v>
          </cell>
          <cell r="G770" t="str">
            <v>Lifelines Grass Planter with Clickwick (11-1608 &amp; 110454 citrus)</v>
          </cell>
          <cell r="H770" t="str">
            <v>N</v>
          </cell>
          <cell r="I770" t="str">
            <v>141</v>
          </cell>
          <cell r="J770">
            <v>810076211411</v>
          </cell>
          <cell r="K770" t="str">
            <v/>
          </cell>
          <cell r="L770" t="str">
            <v/>
          </cell>
          <cell r="O770">
            <v>41.98</v>
          </cell>
          <cell r="P770">
            <v>20.99</v>
          </cell>
        </row>
        <row r="771">
          <cell r="F771" t="str">
            <v>11-0451</v>
          </cell>
          <cell r="G771" t="str">
            <v>Clickwick Replacement Bloom, Citrus</v>
          </cell>
          <cell r="H771" t="str">
            <v>Y</v>
          </cell>
          <cell r="I771" t="str">
            <v>047</v>
          </cell>
          <cell r="J771">
            <v>810076210476</v>
          </cell>
          <cell r="K771" t="str">
            <v/>
          </cell>
          <cell r="L771" t="str">
            <v/>
          </cell>
          <cell r="O771">
            <v>11.99</v>
          </cell>
          <cell r="P771">
            <v>5.9950000000000001</v>
          </cell>
        </row>
        <row r="772">
          <cell r="F772" t="str">
            <v>99-9502</v>
          </cell>
          <cell r="G772" t="str">
            <v>Pen Display - Empty</v>
          </cell>
          <cell r="H772" t="str">
            <v>Y</v>
          </cell>
          <cell r="I772" t="str">
            <v/>
          </cell>
          <cell r="L772" t="str">
            <v/>
          </cell>
          <cell r="O772">
            <v>11.99</v>
          </cell>
          <cell r="P772">
            <v>5.9950000000000001</v>
          </cell>
        </row>
        <row r="773">
          <cell r="F773" t="str">
            <v>11-0452</v>
          </cell>
          <cell r="G773" t="str">
            <v>Clickwick Replacement Woods, Mountain</v>
          </cell>
          <cell r="H773" t="str">
            <v>Y</v>
          </cell>
          <cell r="I773" t="str">
            <v>048</v>
          </cell>
          <cell r="J773">
            <v>810076210483</v>
          </cell>
          <cell r="K773" t="str">
            <v/>
          </cell>
          <cell r="L773" t="str">
            <v/>
          </cell>
          <cell r="O773">
            <v>11.99</v>
          </cell>
          <cell r="P773">
            <v>5.9950000000000001</v>
          </cell>
        </row>
        <row r="774">
          <cell r="F774" t="str">
            <v>112522</v>
          </cell>
          <cell r="H774" t="str">
            <v>N</v>
          </cell>
          <cell r="I774" t="str">
            <v>193</v>
          </cell>
          <cell r="J774">
            <v>810076211930</v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>
            <v>9.99</v>
          </cell>
          <cell r="P774">
            <v>4.9950000000000001</v>
          </cell>
        </row>
        <row r="775">
          <cell r="F775" t="str">
            <v>99-9501</v>
          </cell>
          <cell r="G775" t="str">
            <v xml:space="preserve">Pen Diffuser Assortment - 30 ct </v>
          </cell>
          <cell r="H775" t="str">
            <v>N</v>
          </cell>
          <cell r="I775" t="str">
            <v>077</v>
          </cell>
          <cell r="J775">
            <v>810076210773</v>
          </cell>
          <cell r="K775" t="str">
            <v/>
          </cell>
          <cell r="L775" t="str">
            <v/>
          </cell>
          <cell r="M775">
            <v>0</v>
          </cell>
          <cell r="N775">
            <v>1</v>
          </cell>
          <cell r="O775">
            <v>300</v>
          </cell>
          <cell r="P775">
            <v>150</v>
          </cell>
        </row>
        <row r="776">
          <cell r="F776" t="str">
            <v>11-1618</v>
          </cell>
          <cell r="G776" t="str">
            <v>DIFFUSER, LED,Winter Edition (Frosted Green)</v>
          </cell>
        </row>
        <row r="777">
          <cell r="F777" t="str">
            <v>98-9220</v>
          </cell>
          <cell r="G777" t="str">
            <v>Candle + Oil  BOX Set  (4 oils) - Frosted Cream Candle</v>
          </cell>
        </row>
        <row r="778">
          <cell r="F778" t="str">
            <v>LL-25-3275</v>
          </cell>
          <cell r="G778" t="str">
            <v>Scented Palm Calms 1 - Zen Garden - WMT</v>
          </cell>
          <cell r="H778" t="str">
            <v>N</v>
          </cell>
          <cell r="I778" t="str">
            <v>457</v>
          </cell>
          <cell r="J778">
            <v>810076214573</v>
          </cell>
          <cell r="K778">
            <v>50810076214578</v>
          </cell>
          <cell r="L778">
            <v>30810076214574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LL-25-3276</v>
          </cell>
          <cell r="G779" t="str">
            <v>Scented Palm Calms 2 - Spa Serenity - WMT</v>
          </cell>
          <cell r="H779" t="str">
            <v>N</v>
          </cell>
          <cell r="I779" t="str">
            <v>458</v>
          </cell>
          <cell r="J779">
            <v>810076214580</v>
          </cell>
          <cell r="K779">
            <v>50810076214585</v>
          </cell>
          <cell r="L779">
            <v>30810076214581</v>
          </cell>
          <cell r="M779">
            <v>4</v>
          </cell>
          <cell r="N779">
            <v>12</v>
          </cell>
          <cell r="O779">
            <v>15</v>
          </cell>
          <cell r="P779">
            <v>7.5</v>
          </cell>
        </row>
        <row r="780">
          <cell r="F780" t="str">
            <v>LL-25-3283</v>
          </cell>
          <cell r="G780" t="str">
            <v>Scented Palm Calms 4 - Zen Meditation - WMT</v>
          </cell>
          <cell r="H780" t="str">
            <v>N</v>
          </cell>
          <cell r="I780" t="str">
            <v>463</v>
          </cell>
          <cell r="J780">
            <v>810076214634</v>
          </cell>
          <cell r="K780">
            <v>50810076214639</v>
          </cell>
          <cell r="L780">
            <v>30810076214635</v>
          </cell>
          <cell r="M780">
            <v>4</v>
          </cell>
          <cell r="N780">
            <v>12</v>
          </cell>
          <cell r="O780">
            <v>15</v>
          </cell>
          <cell r="P780">
            <v>7.5</v>
          </cell>
        </row>
        <row r="781">
          <cell r="F781" t="str">
            <v>LL-25-3284</v>
          </cell>
          <cell r="G781" t="str">
            <v>Scented Palm Calms 5 - Forest Friends - WMT</v>
          </cell>
          <cell r="H781" t="str">
            <v>N</v>
          </cell>
          <cell r="I781" t="str">
            <v>464</v>
          </cell>
          <cell r="J781">
            <v>810076214641</v>
          </cell>
          <cell r="K781">
            <v>50810076214646</v>
          </cell>
          <cell r="L781">
            <v>30810076214642</v>
          </cell>
          <cell r="M781">
            <v>4</v>
          </cell>
          <cell r="N781">
            <v>12</v>
          </cell>
          <cell r="O781">
            <v>15</v>
          </cell>
          <cell r="P781">
            <v>7.5</v>
          </cell>
        </row>
        <row r="782">
          <cell r="F782" t="str">
            <v>LL-25-3285</v>
          </cell>
          <cell r="G782" t="str">
            <v>Scented Palm Calms 6 - Animal Friends - WMT</v>
          </cell>
          <cell r="H782" t="str">
            <v>N</v>
          </cell>
          <cell r="I782" t="str">
            <v>465</v>
          </cell>
          <cell r="J782">
            <v>810076214658</v>
          </cell>
          <cell r="K782">
            <v>50810076214653</v>
          </cell>
          <cell r="L782">
            <v>30810076214659</v>
          </cell>
          <cell r="M782">
            <v>4</v>
          </cell>
          <cell r="N782">
            <v>12</v>
          </cell>
          <cell r="O782">
            <v>15</v>
          </cell>
          <cell r="P782">
            <v>7.5</v>
          </cell>
        </row>
        <row r="783">
          <cell r="F783" t="str">
            <v>LL-25-3286</v>
          </cell>
          <cell r="G783" t="str">
            <v>Scented Palm Calms 7 - Writers Desk -  WMT</v>
          </cell>
          <cell r="H783" t="str">
            <v>N</v>
          </cell>
          <cell r="I783" t="str">
            <v>466</v>
          </cell>
          <cell r="J783">
            <v>810076214665</v>
          </cell>
          <cell r="K783">
            <v>50810076214660</v>
          </cell>
          <cell r="L783">
            <v>30810076214666</v>
          </cell>
          <cell r="M783">
            <v>4</v>
          </cell>
          <cell r="N783">
            <v>12</v>
          </cell>
          <cell r="O783">
            <v>15</v>
          </cell>
          <cell r="P783">
            <v>7.5</v>
          </cell>
        </row>
        <row r="784">
          <cell r="F784" t="str">
            <v>LL-25-3287</v>
          </cell>
          <cell r="G784" t="str">
            <v>Scented Palm Calms 8 - Little Books -  WMT</v>
          </cell>
          <cell r="H784" t="str">
            <v>N</v>
          </cell>
          <cell r="I784" t="str">
            <v>467</v>
          </cell>
          <cell r="J784">
            <v>810076214672</v>
          </cell>
          <cell r="K784">
            <v>50810076214677</v>
          </cell>
          <cell r="L784">
            <v>30810076214673</v>
          </cell>
          <cell r="M784">
            <v>4</v>
          </cell>
          <cell r="N784">
            <v>12</v>
          </cell>
          <cell r="O784">
            <v>15</v>
          </cell>
          <cell r="P784">
            <v>7.5</v>
          </cell>
        </row>
        <row r="785">
          <cell r="F785" t="str">
            <v>LL-25-3278</v>
          </cell>
          <cell r="G785" t="str">
            <v>Scented Palm Calms Discovery Set - WMT</v>
          </cell>
          <cell r="H785" t="str">
            <v>N</v>
          </cell>
          <cell r="I785" t="str">
            <v>460</v>
          </cell>
          <cell r="J785">
            <v>810076214603</v>
          </cell>
          <cell r="K785">
            <v>50810076214608</v>
          </cell>
          <cell r="L785">
            <v>30810076214604</v>
          </cell>
          <cell r="M785">
            <v>4</v>
          </cell>
          <cell r="N785">
            <v>12</v>
          </cell>
          <cell r="O785">
            <v>10</v>
          </cell>
          <cell r="P785">
            <v>5</v>
          </cell>
        </row>
        <row r="1485">
          <cell r="F1485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4"/>
  <sheetViews>
    <sheetView tabSelected="1" workbookViewId="0">
      <pane ySplit="4" topLeftCell="A5" activePane="bottomLeft" state="frozen"/>
      <selection pane="bottomLeft" activeCell="D6" sqref="D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76</v>
      </c>
      <c r="D14" t="str">
        <f>IFERROR(IFERROR(VLOOKUP($C14, [1]SBOM!$F:$G, 2, FALSE), VLOOKUP(VALUE($C14), [1]SBOM!$F:$G, 2, FALSE)), "")</f>
        <v>Pen Display - Empty</v>
      </c>
      <c r="E14">
        <v>2</v>
      </c>
      <c r="F14" s="2">
        <f>ROUND(IFERROR(IFERROR(VLOOKUP($C14, [1]SBOM!$F:$P, 11, FALSE),VLOOKUP(VALUE($C14), [1]SBOM!$F:$P, 11, FALSE)), 0), 2)</f>
        <v>6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74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75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67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68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69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1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1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74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75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1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1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 s="6" customFormat="1">
      <c r="A62" s="6" t="s">
        <v>56</v>
      </c>
      <c r="B62" s="6">
        <f t="shared" si="0"/>
        <v>11</v>
      </c>
      <c r="C62" s="7" t="s">
        <v>54</v>
      </c>
      <c r="D62" s="6" t="str">
        <f>IFERROR(IFERROR(VLOOKUP($C62, [1]SBOM!$F:$G, 2, FALSE), VLOOKUP(VALUE($C62), [1]SBOM!$F:$G, 2, FALSE)), "")</f>
        <v>FlowArt: Color-to-Reveal, Citrus Coastlines</v>
      </c>
      <c r="E62" s="6">
        <v>4</v>
      </c>
      <c r="F62" s="8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1" t="s">
        <v>78</v>
      </c>
      <c r="D63" t="str">
        <f>IFERROR(IFERROR(VLOOKUP($C63, [1]SBOM!$F:$G, 2, FALSE), VLOOKUP(VALUE($C63), [1]SBOM!$F:$G, 2, FALSE)), "")</f>
        <v>FlowArt: Dot-By-Letter, Botanicals</v>
      </c>
      <c r="E63">
        <v>8</v>
      </c>
      <c r="F63" s="2">
        <v>5</v>
      </c>
    </row>
    <row r="64" spans="1:6">
      <c r="A64" t="s">
        <v>51</v>
      </c>
      <c r="B64">
        <f t="shared" si="0"/>
        <v>2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v>5</v>
      </c>
    </row>
    <row r="65" spans="1:6">
      <c r="A65" t="s">
        <v>51</v>
      </c>
      <c r="B65">
        <f t="shared" si="0"/>
        <v>3</v>
      </c>
      <c r="C65" s="1" t="s">
        <v>79</v>
      </c>
      <c r="D65" t="str">
        <f>IFERROR(IFERROR(VLOOKUP($C65, [1]SBOM!$F:$G, 2, FALSE), VLOOKUP(VALUE($C65), [1]SBOM!$F:$G, 2, FALSE)), "")</f>
        <v>FlowArt: Dot-By-Letter, Landscapes</v>
      </c>
      <c r="E65">
        <v>8</v>
      </c>
      <c r="F65" s="2">
        <v>5</v>
      </c>
    </row>
    <row r="66" spans="1:6">
      <c r="A66" t="s">
        <v>51</v>
      </c>
      <c r="B66">
        <f t="shared" si="0"/>
        <v>4</v>
      </c>
      <c r="C66" s="1" t="s">
        <v>52</v>
      </c>
      <c r="D66" t="str">
        <f>IFERROR(IFERROR(VLOOKUP($C66, [1]SBOM!$F:$G, 2, FALSE), VLOOKUP(VALUE($C66), [1]SBOM!$F:$G, 2, FALSE)), "")</f>
        <v>FlowArt: Dot-By-Letter, Wags &amp; Whiskers</v>
      </c>
      <c r="E66">
        <v>12</v>
      </c>
      <c r="F66" s="2">
        <v>5</v>
      </c>
    </row>
    <row r="67" spans="1:6">
      <c r="A67" t="s">
        <v>51</v>
      </c>
      <c r="B67">
        <f t="shared" si="0"/>
        <v>5</v>
      </c>
      <c r="C67" s="1" t="s">
        <v>33</v>
      </c>
      <c r="D67" t="str">
        <f>IFERROR(IFERROR(VLOOKUP($C67, [1]SBOM!$F:$G, 2, FALSE), VLOOKUP(VALUE($C67), [1]SBOM!$F:$G, 2, FALSE)), "")</f>
        <v>FlowArt: Dot-By-Letter, Into the Deep [Metallic ink]</v>
      </c>
      <c r="E67">
        <v>12</v>
      </c>
      <c r="F67" s="2">
        <v>5</v>
      </c>
    </row>
    <row r="68" spans="1:6">
      <c r="A68" t="s">
        <v>51</v>
      </c>
      <c r="B68">
        <f t="shared" si="0"/>
        <v>6</v>
      </c>
      <c r="C68" s="1" t="s">
        <v>21</v>
      </c>
      <c r="D68" t="str">
        <f>IFERROR(IFERROR(VLOOKUP($C68, [1]SBOM!$F:$G, 2, FALSE), VLOOKUP(VALUE($C68), [1]SBOM!$F:$G, 2, FALSE)), "")</f>
        <v>FlowArt: Color-to-Reveal, Fragrant Blooms</v>
      </c>
      <c r="E68">
        <v>4</v>
      </c>
      <c r="F68" s="2">
        <v>5</v>
      </c>
    </row>
    <row r="69" spans="1:6">
      <c r="A69" t="s">
        <v>51</v>
      </c>
      <c r="B69">
        <f t="shared" si="0"/>
        <v>7</v>
      </c>
      <c r="C69" s="1" t="s">
        <v>23</v>
      </c>
      <c r="D69" t="str">
        <f>IFERROR(IFERROR(VLOOKUP($C69, [1]SBOM!$F:$G, 2, FALSE), VLOOKUP(VALUE($C69), [1]SBOM!$F:$G, 2, FALSE)), "")</f>
        <v>FlowArt: Dot-By-Letter, Day at the Beach</v>
      </c>
      <c r="E69">
        <v>12</v>
      </c>
      <c r="F69" s="2">
        <v>5</v>
      </c>
    </row>
    <row r="70" spans="1:6">
      <c r="A70" t="s">
        <v>51</v>
      </c>
      <c r="B70">
        <f t="shared" si="0"/>
        <v>8</v>
      </c>
      <c r="C70" s="1" t="s">
        <v>54</v>
      </c>
      <c r="D70" t="str">
        <f>IFERROR(IFERROR(VLOOKUP($C70, [1]SBOM!$F:$G, 2, FALSE), VLOOKUP(VALUE($C70), [1]SBOM!$F:$G, 2, FALSE)), "")</f>
        <v>FlowArt: Color-to-Reveal, Citrus Coastlines</v>
      </c>
      <c r="E70">
        <v>8</v>
      </c>
      <c r="F70" s="2">
        <v>5</v>
      </c>
    </row>
    <row r="71" spans="1:6">
      <c r="A71" t="s">
        <v>51</v>
      </c>
      <c r="B71">
        <f t="shared" ref="B71:B124" si="1">IF(A70=A71, B70+1, 1)</f>
        <v>9</v>
      </c>
      <c r="C71" s="1" t="s">
        <v>34</v>
      </c>
      <c r="D71" t="str">
        <f>IFERROR(IFERROR(VLOOKUP($C71, [1]SBOM!$F:$G, 2, FALSE), VLOOKUP(VALUE($C71), [1]SBOM!$F:$G, 2, FALSE)), "")</f>
        <v>FlowArt: Trace-By-Groove, Jungle Oasis</v>
      </c>
      <c r="E71">
        <v>4</v>
      </c>
      <c r="F71" s="2">
        <v>5</v>
      </c>
    </row>
    <row r="72" spans="1:6">
      <c r="A72" t="s">
        <v>51</v>
      </c>
      <c r="B72">
        <f t="shared" si="1"/>
        <v>10</v>
      </c>
      <c r="C72" s="1" t="s">
        <v>55</v>
      </c>
      <c r="D72" t="str">
        <f>IFERROR(IFERROR(VLOOKUP($C72, [1]SBOM!$F:$G, 2, FALSE), VLOOKUP(VALUE($C72), [1]SBOM!$F:$G, 2, FALSE)), "")</f>
        <v>FlowArt: Trace-By-Line, Brunch in Bloom</v>
      </c>
      <c r="E72">
        <v>12</v>
      </c>
      <c r="F72" s="2">
        <v>5</v>
      </c>
    </row>
    <row r="73" spans="1:6">
      <c r="A73" t="s">
        <v>51</v>
      </c>
      <c r="B73">
        <f t="shared" si="1"/>
        <v>11</v>
      </c>
      <c r="C73" s="1" t="s">
        <v>19</v>
      </c>
      <c r="D73" t="str">
        <f>IFERROR(IFERROR(VLOOKUP($C73, [1]SBOM!$F:$G, 2, FALSE), VLOOKUP(VALUE($C73), [1]SBOM!$F:$G, 2, FALSE)), "")</f>
        <v>FlowArt: Dot-By-Letter, Cozy Cottage</v>
      </c>
      <c r="E73">
        <v>12</v>
      </c>
      <c r="F73" s="2">
        <v>5</v>
      </c>
    </row>
    <row r="74" spans="1:6">
      <c r="A74" t="s">
        <v>51</v>
      </c>
      <c r="B74">
        <f>IF(A73=A74, B73+1, 1)</f>
        <v>12</v>
      </c>
      <c r="C74" s="1" t="s">
        <v>37</v>
      </c>
      <c r="D74" t="str">
        <f>IFERROR(IFERROR(VLOOKUP($C74, [1]SBOM!$F:$G, 2, FALSE), VLOOKUP(VALUE($C74), [1]SBOM!$F:$G, 2, FALSE)), "")</f>
        <v>FlowArt - Spinner Tower - Empty</v>
      </c>
      <c r="E74">
        <v>1</v>
      </c>
      <c r="F74" s="2">
        <v>0</v>
      </c>
    </row>
    <row r="75" spans="1:6">
      <c r="A75" t="s">
        <v>51</v>
      </c>
      <c r="B75">
        <f t="shared" si="1"/>
        <v>13</v>
      </c>
      <c r="C75" s="1" t="s">
        <v>75</v>
      </c>
      <c r="D75" t="str">
        <f>IFERROR(IFERROR(VLOOKUP($C75, [1]SBOM!$F:$G, 2, FALSE), VLOOKUP(VALUE($C75), [1]SBOM!$F:$G, 2, FALSE)), "")</f>
        <v>FlowArt: Dot-By-Letter, Majestic Earth [Metallic ink]</v>
      </c>
      <c r="E75">
        <v>12</v>
      </c>
      <c r="F75" s="2">
        <v>5</v>
      </c>
    </row>
    <row r="76" spans="1:6">
      <c r="A76" t="s">
        <v>51</v>
      </c>
      <c r="B76">
        <f t="shared" si="1"/>
        <v>14</v>
      </c>
      <c r="C76" s="1" t="s">
        <v>74</v>
      </c>
      <c r="D76" t="str">
        <f>IFERROR(IFERROR(VLOOKUP($C76, [1]SBOM!$F:$G, 2, FALSE), VLOOKUP(VALUE($C76), [1]SBOM!$F:$G, 2, FALSE)), "")</f>
        <v>FlowArt: Dot-By-Letter, Moonlit Garden [Metallic ink]</v>
      </c>
      <c r="E76">
        <v>12</v>
      </c>
      <c r="F76" s="2">
        <v>5</v>
      </c>
    </row>
    <row r="77" spans="1:6">
      <c r="A77" t="s">
        <v>51</v>
      </c>
      <c r="B77">
        <f t="shared" si="1"/>
        <v>15</v>
      </c>
      <c r="C77" s="1" t="s">
        <v>80</v>
      </c>
      <c r="D77" t="str">
        <f>IFERROR(IFERROR(VLOOKUP($C77, [1]SBOM!$F:$G, 2, FALSE), VLOOKUP(VALUE($C77), [1]SBOM!$F:$G, 2, FALSE)), "")</f>
        <v>FlowArt: Color-to-Reveal, Animals</v>
      </c>
      <c r="E77">
        <v>8</v>
      </c>
      <c r="F77" s="2">
        <v>5</v>
      </c>
    </row>
    <row r="78" spans="1:6">
      <c r="A78" t="s">
        <v>51</v>
      </c>
      <c r="B78">
        <f t="shared" si="1"/>
        <v>16</v>
      </c>
      <c r="C78" s="1" t="s">
        <v>62</v>
      </c>
      <c r="D78" t="str">
        <f>IFERROR(IFERROR(VLOOKUP($C78, [1]SBOM!$F:$G, 2, FALSE), VLOOKUP(VALUE($C78), [1]SBOM!$F:$G, 2, FALSE)), "")</f>
        <v>FlowArt: Color-to-Reveal, Fall is in the Air [Scented]</v>
      </c>
      <c r="E78">
        <v>8</v>
      </c>
      <c r="F78" s="2">
        <v>5</v>
      </c>
    </row>
    <row r="79" spans="1:6">
      <c r="A79" t="s">
        <v>51</v>
      </c>
      <c r="B79">
        <f t="shared" si="1"/>
        <v>17</v>
      </c>
      <c r="C79" s="1" t="s">
        <v>27</v>
      </c>
      <c r="D79" t="str">
        <f>IFERROR(IFERROR(VLOOKUP($C79, [1]SBOM!$F:$G, 2, FALSE), VLOOKUP(VALUE($C79), [1]SBOM!$F:$G, 2, FALSE)), "")</f>
        <v>FlowArt: Dot-By-Letter, Sweater Weather [2026]</v>
      </c>
      <c r="E79">
        <v>8</v>
      </c>
      <c r="F79" s="2">
        <v>5</v>
      </c>
    </row>
    <row r="80" spans="1:6" s="6" customFormat="1">
      <c r="A80" s="6" t="s">
        <v>51</v>
      </c>
      <c r="B80" s="6">
        <f t="shared" si="1"/>
        <v>18</v>
      </c>
      <c r="C80" s="7" t="s">
        <v>77</v>
      </c>
      <c r="D80" s="6" t="str">
        <f>IFERROR(IFERROR(VLOOKUP($C80, [1]SBOM!$F:$G, 2, FALSE), VLOOKUP(VALUE($C80), [1]SBOM!$F:$G, 2, FALSE)), "")</f>
        <v>FlowArt: Dot-By-Letter, Everyday Inspiration</v>
      </c>
      <c r="E80" s="6">
        <v>8</v>
      </c>
      <c r="F80" s="8">
        <v>5</v>
      </c>
    </row>
    <row r="81" spans="1:6">
      <c r="A81" t="s">
        <v>65</v>
      </c>
      <c r="B81">
        <f t="shared" si="1"/>
        <v>1</v>
      </c>
      <c r="C81" s="1" t="s">
        <v>69</v>
      </c>
      <c r="D81" t="str">
        <f>IFERROR(IFERROR(VLOOKUP($C81, [1]SBOM!$F:$G, 2, FALSE), VLOOKUP(VALUE($C81), [1]SBOM!$F:$G, 2, FALSE)), "")</f>
        <v>Scented Stacking Highlighters - 2-pack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65</v>
      </c>
      <c r="B82">
        <f t="shared" si="1"/>
        <v>2</v>
      </c>
      <c r="C82" s="1">
        <v>165006</v>
      </c>
      <c r="D82" t="str">
        <f>IFERROR(IFERROR(VLOOKUP($C82, [1]SBOM!$F:$G, 2, FALSE), VLOOKUP(VALUE($C82), [1]SBOM!$F:$G, 2, FALSE)), "")</f>
        <v>FlowArt: Illuminate &amp; Create, Wildlife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65</v>
      </c>
      <c r="B83">
        <f t="shared" si="1"/>
        <v>3</v>
      </c>
      <c r="C83" s="1">
        <v>165007</v>
      </c>
      <c r="D83" t="str">
        <f>IFERROR(IFERROR(VLOOKUP($C83, [1]SBOM!$F:$G, 2, FALSE), VLOOKUP(VALUE($C83), [1]SBOM!$F:$G, 2, FALSE)), "")</f>
        <v>FlowArt: Pogo-Dot, Nature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65</v>
      </c>
      <c r="B84">
        <f t="shared" si="1"/>
        <v>4</v>
      </c>
      <c r="C84" s="1">
        <v>165008</v>
      </c>
      <c r="D84" t="str">
        <f>IFERROR(IFERROR(VLOOKUP($C84, [1]SBOM!$F:$G, 2, FALSE), VLOOKUP(VALUE($C84), [1]SBOM!$F:$G, 2, FALSE)), "")</f>
        <v>FlowArt: Dot-By-Letter, Landscapes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65</v>
      </c>
      <c r="B85">
        <f t="shared" si="1"/>
        <v>5</v>
      </c>
      <c r="C85" s="1">
        <v>165009</v>
      </c>
      <c r="D85" t="str">
        <f>IFERROR(IFERROR(VLOOKUP($C85, [1]SBOM!$F:$G, 2, FALSE), VLOOKUP(VALUE($C85), [1]SBOM!$F:$G, 2, FALSE)), "")</f>
        <v>FlowArt: Illuminate &amp; Create, Foliage and Flowers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65</v>
      </c>
      <c r="B86">
        <f t="shared" si="1"/>
        <v>6</v>
      </c>
      <c r="C86" s="1">
        <v>165012</v>
      </c>
      <c r="D86" t="str">
        <f>IFERROR(IFERROR(VLOOKUP($C86, [1]SBOM!$F:$G, 2, FALSE), VLOOKUP(VALUE($C86), [1]SBOM!$F:$G, 2, FALSE)), "")</f>
        <v>FlowArt: Color-to-Reveal, Animals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65</v>
      </c>
      <c r="B87">
        <f t="shared" si="1"/>
        <v>7</v>
      </c>
      <c r="C87" s="1">
        <v>165005</v>
      </c>
      <c r="D87" t="str">
        <f>IFERROR(IFERROR(VLOOKUP($C87, [1]SBOM!$F:$G, 2, FALSE), VLOOKUP(VALUE($C87), [1]SBOM!$F:$G, 2, FALSE)), "")</f>
        <v>FlowArt: Dot-By-Letter, Botanicals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65</v>
      </c>
      <c r="B88">
        <f t="shared" si="1"/>
        <v>8</v>
      </c>
      <c r="C88" s="1" t="s">
        <v>41</v>
      </c>
      <c r="D88" t="str">
        <f>IFERROR(IFERROR(VLOOKUP($C88, [1]SBOM!$F:$G, 2, FALSE), VLOOKUP(VALUE($C88), [1]SBOM!$F:$G, 2, FALSE)), "")</f>
        <v xml:space="preserve">Scented Lava Pen Set - 2-pack (Blue / Green) 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65</v>
      </c>
      <c r="B89">
        <f t="shared" si="1"/>
        <v>9</v>
      </c>
      <c r="C89" s="1" t="s">
        <v>70</v>
      </c>
      <c r="D89" t="str">
        <f>IFERROR(IFERROR(VLOOKUP($C89, [1]SBOM!$F:$G, 2, FALSE), VLOOKUP(VALUE($C89), [1]SBOM!$F:$G, 2, FALSE)), "")</f>
        <v>Lava Pen 2 Pack - Purple/Orange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65</v>
      </c>
      <c r="B90">
        <f t="shared" si="1"/>
        <v>10</v>
      </c>
      <c r="C90" s="1" t="s">
        <v>71</v>
      </c>
      <c r="D90" t="str">
        <f>IFERROR(IFERROR(VLOOKUP($C90, [1]SBOM!$F:$G, 2, FALSE), VLOOKUP(VALUE($C90), [1]SBOM!$F:$G, 2, FALSE)), "")</f>
        <v>Lava Pen 2 Pack - Black/Red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65</v>
      </c>
      <c r="B91">
        <f t="shared" si="1"/>
        <v>11</v>
      </c>
      <c r="C91" s="1" t="s">
        <v>72</v>
      </c>
      <c r="D91" t="str">
        <f>IFERROR(IFERROR(VLOOKUP($C91, [1]SBOM!$F:$G, 2, FALSE), VLOOKUP(VALUE($C91), [1]SBOM!$F:$G, 2, FALSE)), "")</f>
        <v xml:space="preserve">Scented Lava Pen Set - 2-pack (Blue / Red) 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58</v>
      </c>
      <c r="B92">
        <f t="shared" si="1"/>
        <v>1</v>
      </c>
      <c r="C92" s="1" t="s">
        <v>24</v>
      </c>
      <c r="D92" t="str">
        <f>IFERROR(IFERROR(VLOOKUP($C92, [1]SBOM!$F:$G, 2, FALSE), VLOOKUP(VALUE($C92), [1]SBOM!$F:$G, 2, FALSE)), "")</f>
        <v>FlowArt: Dot-By-Letter, Strolling through Fall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58</v>
      </c>
      <c r="B93">
        <f t="shared" si="1"/>
        <v>2</v>
      </c>
      <c r="C93" s="1" t="s">
        <v>25</v>
      </c>
      <c r="D93" t="str">
        <f>IFERROR(IFERROR(VLOOKUP($C93, [1]SBOM!$F:$G, 2, FALSE), VLOOKUP(VALUE($C93), [1]SBOM!$F:$G, 2, FALSE)), "")</f>
        <v>FlowArt: Dot-By-Letter, Pumpkins &amp; Pastures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3</v>
      </c>
      <c r="C94" s="1" t="s">
        <v>27</v>
      </c>
      <c r="D94" t="str">
        <f>IFERROR(IFERROR(VLOOKUP($C94, [1]SBOM!$F:$G, 2, FALSE), VLOOKUP(VALUE($C94), [1]SBOM!$F:$G, 2, FALSE)), "")</f>
        <v>FlowArt: Dot-By-Letter, Sweater Weather [2026]</v>
      </c>
      <c r="E94">
        <v>8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4</v>
      </c>
      <c r="C95" s="1" t="s">
        <v>26</v>
      </c>
      <c r="D95" t="str">
        <f>IFERROR(IFERROR(VLOOKUP($C95, [1]SBOM!$F:$G, 2, FALSE), VLOOKUP(VALUE($C95), [1]SBOM!$F:$G, 2, FALSE)), "")</f>
        <v>FlowArt: Trace-By-Line, Fall Harvest</v>
      </c>
      <c r="E95">
        <v>4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5</v>
      </c>
      <c r="C96" s="1" t="s">
        <v>62</v>
      </c>
      <c r="D96" t="str">
        <f>IFERROR(IFERROR(VLOOKUP($C96, [1]SBOM!$F:$G, 2, FALSE), VLOOKUP(VALUE($C96), [1]SBOM!$F:$G, 2, FALSE)), "")</f>
        <v>FlowArt: Color-to-Reveal, Fall is in the Air [Scented]</v>
      </c>
      <c r="E96">
        <v>4</v>
      </c>
      <c r="F96" s="2">
        <f>ROUND(IFERROR(IFERROR(VLOOKUP($C96, [1]SBOM!$F:$P, 11, FALSE),VLOOKUP(VALUE($C96), [1]SBOM!$F:$P, 11, FALSE)), 0), 2)</f>
        <v>6.5</v>
      </c>
    </row>
    <row r="97" spans="1:6">
      <c r="A97" t="s">
        <v>57</v>
      </c>
      <c r="B97">
        <f t="shared" si="1"/>
        <v>1</v>
      </c>
      <c r="C97" s="1" t="s">
        <v>19</v>
      </c>
      <c r="D97" t="str">
        <f>IFERROR(IFERROR(VLOOKUP($C97, [1]SBOM!$F:$G, 2, FALSE), VLOOKUP(VALUE($C97), [1]SBOM!$F:$G, 2, FALSE)), "")</f>
        <v>FlowArt: Dot-By-Letter, Cozy Cottage</v>
      </c>
      <c r="E97">
        <v>8</v>
      </c>
      <c r="F97" s="2">
        <f>ROUND(IFERROR(IFERROR(VLOOKUP($C97, [1]SBOM!$F:$P, 11, FALSE),VLOOKUP(VALUE($C97), [1]SBOM!$F:$P, 11, FALSE)), 0), 2)</f>
        <v>6.5</v>
      </c>
    </row>
    <row r="98" spans="1:6">
      <c r="A98" t="s">
        <v>57</v>
      </c>
      <c r="B98">
        <f t="shared" si="1"/>
        <v>2</v>
      </c>
      <c r="C98" s="1" t="s">
        <v>21</v>
      </c>
      <c r="D98" t="str">
        <f>IFERROR(IFERROR(VLOOKUP($C98, [1]SBOM!$F:$G, 2, FALSE), VLOOKUP(VALUE($C98), [1]SBOM!$F:$G, 2, FALSE)), "")</f>
        <v>FlowArt: Color-to-Reveal, Fragrant Blooms</v>
      </c>
      <c r="E98">
        <v>4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3</v>
      </c>
      <c r="C99" s="1" t="s">
        <v>20</v>
      </c>
      <c r="D99" t="str">
        <f>IFERROR(IFERROR(VLOOKUP($C99, [1]SBOM!$F:$G, 2, FALSE), VLOOKUP(VALUE($C99), [1]SBOM!$F:$G, 2, FALSE)), "")</f>
        <v>FlowArt: Stamp by Shape, Secret Garden</v>
      </c>
      <c r="E99">
        <v>4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4</v>
      </c>
      <c r="C100" s="1" t="s">
        <v>23</v>
      </c>
      <c r="D100" t="str">
        <f>IFERROR(IFERROR(VLOOKUP($C100, [1]SBOM!$F:$G, 2, FALSE), VLOOKUP(VALUE($C100), [1]SBOM!$F:$G, 2, FALSE)), "")</f>
        <v>FlowArt: Dot-By-Letter, Day at the Beach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5</v>
      </c>
      <c r="C101" s="1" t="s">
        <v>55</v>
      </c>
      <c r="D101" t="str">
        <f>IFERROR(IFERROR(VLOOKUP($C101, [1]SBOM!$F:$G, 2, FALSE), VLOOKUP(VALUE($C101), [1]SBOM!$F:$G, 2, FALSE)), "")</f>
        <v>FlowArt: Trace-By-Line, Brunch in Bloom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6</v>
      </c>
      <c r="C102" s="1" t="s">
        <v>53</v>
      </c>
      <c r="D102" t="str">
        <f>IFERROR(IFERROR(VLOOKUP($C102, [1]SBOM!$F:$G, 2, FALSE), VLOOKUP(VALUE($C102), [1]SBOM!$F:$G, 2, FALSE)), "")</f>
        <v>FlowArt: Dot-By-Letter, Americana</v>
      </c>
      <c r="E102">
        <v>8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7</v>
      </c>
      <c r="C103" s="1" t="s">
        <v>33</v>
      </c>
      <c r="D103" t="str">
        <f>IFERROR(IFERROR(VLOOKUP($C103, [1]SBOM!$F:$G, 2, FALSE), VLOOKUP(VALUE($C103), [1]SBOM!$F:$G, 2, FALSE)), "")</f>
        <v>FlowArt: Dot-By-Letter, Into the Deep [Metallic ink]</v>
      </c>
      <c r="E103">
        <v>4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8</v>
      </c>
      <c r="C104" s="1" t="s">
        <v>54</v>
      </c>
      <c r="D104" t="str">
        <f>IFERROR(IFERROR(VLOOKUP($C104, [1]SBOM!$F:$G, 2, FALSE), VLOOKUP(VALUE($C104), [1]SBOM!$F:$G, 2, FALSE)), "")</f>
        <v>FlowArt: Color-to-Reveal, Citrus Coastlines</v>
      </c>
      <c r="E104">
        <v>4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59</v>
      </c>
      <c r="B105">
        <f t="shared" si="1"/>
        <v>1</v>
      </c>
      <c r="C105" s="1" t="s">
        <v>28</v>
      </c>
      <c r="D105" t="str">
        <f>IFERROR(IFERROR(VLOOKUP($C105, [1]SBOM!$F:$G, 2, FALSE), VLOOKUP(VALUE($C105), [1]SBOM!$F:$G, 2, FALSE)), "")</f>
        <v>FlowArt: Dot-By-Letter, Winter Wonderland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59</v>
      </c>
      <c r="B106">
        <f t="shared" si="1"/>
        <v>2</v>
      </c>
      <c r="C106" s="1" t="s">
        <v>29</v>
      </c>
      <c r="D106" t="str">
        <f>IFERROR(IFERROR(VLOOKUP($C106, [1]SBOM!$F:$G, 2, FALSE), VLOOKUP(VALUE($C106), [1]SBOM!$F:$G, 2, FALSE)), "")</f>
        <v>FlowArt: Dot-By-Letter, Snowed In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3</v>
      </c>
      <c r="C107" s="1" t="s">
        <v>30</v>
      </c>
      <c r="D107" t="str">
        <f>IFERROR(IFERROR(VLOOKUP($C107, [1]SBOM!$F:$G, 2, FALSE), VLOOKUP(VALUE($C107), [1]SBOM!$F:$G, 2, FALSE)), "")</f>
        <v>FlowArt: Dot-By-Letter, Winter's Glow [Metallic ink]</v>
      </c>
      <c r="E107">
        <v>8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4</v>
      </c>
      <c r="C108" s="1" t="s">
        <v>63</v>
      </c>
      <c r="D108" t="str">
        <f>IFERROR(IFERROR(VLOOKUP($C108, [1]SBOM!$F:$G, 2, FALSE), VLOOKUP(VALUE($C108), [1]SBOM!$F:$G, 2, FALSE)), "")</f>
        <v>FlowArt: Color-To-Reveal, Snowy Village [Scented]</v>
      </c>
      <c r="E108">
        <v>4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5</v>
      </c>
      <c r="C109" s="1" t="s">
        <v>64</v>
      </c>
      <c r="D109" t="str">
        <f>IFERROR(IFERROR(VLOOKUP($C109, [1]SBOM!$F:$G, 2, FALSE), VLOOKUP(VALUE($C109), [1]SBOM!$F:$G, 2, FALSE)), "")</f>
        <v>FlowArt: Trace-by-Line, Gingerbread Delight</v>
      </c>
      <c r="E109">
        <v>4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60</v>
      </c>
      <c r="B110">
        <f t="shared" si="1"/>
        <v>1</v>
      </c>
      <c r="C110" s="1" t="s">
        <v>39</v>
      </c>
      <c r="D110" t="str">
        <f>IFERROR(IFERROR(VLOOKUP($C110, [1]SBOM!$F:$G, 2, FALSE), VLOOKUP(VALUE($C110), [1]SBOM!$F:$G, 2, FALSE)), "")</f>
        <v>Pen Diffuser with Essential Oil Blends - In Bloom</v>
      </c>
      <c r="E110">
        <v>6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60</v>
      </c>
      <c r="B111">
        <f t="shared" si="1"/>
        <v>2</v>
      </c>
      <c r="C111" s="1" t="s">
        <v>49</v>
      </c>
      <c r="D111" t="str">
        <f>IFERROR(IFERROR(VLOOKUP($C111, [1]SBOM!$F:$G, 2, FALSE), VLOOKUP(VALUE($C111), [1]SBOM!$F:$G, 2, FALSE)), "")</f>
        <v>Pen Diffuser with Essential Oil Blend- Crisp Mountain Air</v>
      </c>
      <c r="E111">
        <v>6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3</v>
      </c>
      <c r="C112" s="1" t="s">
        <v>44</v>
      </c>
      <c r="D112" t="str">
        <f>IFERROR(IFERROR(VLOOKUP($C112, [1]SBOM!$F:$G, 2, FALSE), VLOOKUP(VALUE($C112), [1]SBOM!$F:$G, 2, FALSE)), "")</f>
        <v>Pen Diffuser with Essential Oil Blends -  Spiced Chai Latte</v>
      </c>
      <c r="E112">
        <v>8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4</v>
      </c>
      <c r="C113" s="1" t="s">
        <v>46</v>
      </c>
      <c r="D113" t="str">
        <f>IFERROR(IFERROR(VLOOKUP($C113, [1]SBOM!$F:$G, 2, FALSE), VLOOKUP(VALUE($C113), [1]SBOM!$F:$G, 2, FALSE)), "")</f>
        <v>Pen Diffuser with Essential Oil Blends -  Strawberry Milkshake</v>
      </c>
      <c r="E113">
        <v>8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5</v>
      </c>
      <c r="C114" s="1" t="s">
        <v>50</v>
      </c>
      <c r="D114" t="str">
        <f>IFERROR(IFERROR(VLOOKUP($C114, [1]SBOM!$F:$G, 2, FALSE), VLOOKUP(VALUE($C114), [1]SBOM!$F:$G, 2, FALSE)), "")</f>
        <v>Pen Diffuser with Essential Oil Blends -  Cotton Candy</v>
      </c>
      <c r="E114">
        <v>4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6</v>
      </c>
      <c r="C115" s="1" t="s">
        <v>73</v>
      </c>
      <c r="D115" t="str">
        <f>IFERROR(IFERROR(VLOOKUP($C115, [1]SBOM!$F:$G, 2, FALSE), VLOOKUP(VALUE($C115), [1]SBOM!$F:$G, 2, FALSE)), "")</f>
        <v xml:space="preserve">Universal Tabletop Display - Empty </v>
      </c>
      <c r="E115">
        <v>1</v>
      </c>
      <c r="F115" s="2">
        <f>ROUND(IFERROR(IFERROR(VLOOKUP($C115, [1]SBOM!$F:$P, 11, FALSE),VLOOKUP(VALUE($C115), [1]SBOM!$F:$P, 11, FALSE)), 0), 2)</f>
        <v>0</v>
      </c>
    </row>
    <row r="116" spans="1:6">
      <c r="A116" t="s">
        <v>14</v>
      </c>
      <c r="B116">
        <f t="shared" si="1"/>
        <v>1</v>
      </c>
      <c r="C116" s="1" t="s">
        <v>8</v>
      </c>
      <c r="D116" t="str">
        <f>IFERROR(IFERROR(VLOOKUP($C116, [1]SBOM!$F:$G, 2, FALSE), VLOOKUP(VALUE($C116), [1]SBOM!$F:$G, 2, FALSE)), "")</f>
        <v>FlowArt: Mini Single - Pocket Positivity</v>
      </c>
      <c r="E116">
        <v>6</v>
      </c>
      <c r="F116" s="2">
        <f>ROUND(IFERROR(IFERROR(VLOOKUP($C116, [1]SBOM!$F:$P, 11, FALSE),VLOOKUP(VALUE($C116), [1]SBOM!$F:$P, 11, FALSE)), 0), 2)</f>
        <v>3.5</v>
      </c>
    </row>
    <row r="117" spans="1:6">
      <c r="A117" t="s">
        <v>14</v>
      </c>
      <c r="B117">
        <f t="shared" si="1"/>
        <v>2</v>
      </c>
      <c r="C117" s="1" t="s">
        <v>9</v>
      </c>
      <c r="D117" t="str">
        <f>IFERROR(IFERROR(VLOOKUP($C117, [1]SBOM!$F:$G, 2, FALSE), VLOOKUP(VALUE($C117), [1]SBOM!$F:$G, 2, FALSE)), "")</f>
        <v>FlowArt: Mini Single - Café Comforts</v>
      </c>
      <c r="E117">
        <v>6</v>
      </c>
      <c r="F117" s="2">
        <f>ROUND(IFERROR(IFERROR(VLOOKUP($C117, [1]SBOM!$F:$P, 11, FALSE),VLOOKUP(VALUE($C117), [1]SBOM!$F:$P, 11, FALSE)), 0), 2)</f>
        <v>3.5</v>
      </c>
    </row>
    <row r="118" spans="1:6">
      <c r="A118" t="s">
        <v>14</v>
      </c>
      <c r="B118">
        <f t="shared" si="1"/>
        <v>3</v>
      </c>
      <c r="C118" s="1" t="s">
        <v>10</v>
      </c>
      <c r="D118" t="str">
        <f>IFERROR(IFERROR(VLOOKUP($C118, [1]SBOM!$F:$G, 2, FALSE), VLOOKUP(VALUE($C118), [1]SBOM!$F:$G, 2, FALSE)), "")</f>
        <v>FlowArt: Mini Single - Enchanted Magic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4</v>
      </c>
      <c r="C119" s="1" t="s">
        <v>12</v>
      </c>
      <c r="D119" t="str">
        <f>IFERROR(IFERROR(VLOOKUP($C119, [1]SBOM!$F:$G, 2, FALSE), VLOOKUP(VALUE($C119), [1]SBOM!$F:$G, 2, FALSE)), "")</f>
        <v>FlowArt: Mini Single - Nature's Wonders</v>
      </c>
      <c r="E119">
        <v>12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5</v>
      </c>
      <c r="C120" s="1" t="s">
        <v>11</v>
      </c>
      <c r="D120" t="str">
        <f>IFERROR(IFERROR(VLOOKUP($C120, [1]SBOM!$F:$G, 2, FALSE), VLOOKUP(VALUE($C120), [1]SBOM!$F:$G, 2, FALSE)), "")</f>
        <v>FlowArt: Mini Single - Pretty Petals</v>
      </c>
      <c r="E120">
        <v>12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6</v>
      </c>
      <c r="C121" s="1" t="s">
        <v>13</v>
      </c>
      <c r="D121" t="str">
        <f>IFERROR(IFERROR(VLOOKUP($C121, [1]SBOM!$F:$G, 2, FALSE), VLOOKUP(VALUE($C121), [1]SBOM!$F:$G, 2, FALSE)), "")</f>
        <v>FlowArt: Mini Single - Furry Friends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66</v>
      </c>
      <c r="B122">
        <f t="shared" si="1"/>
        <v>1</v>
      </c>
      <c r="C122" s="1" t="s">
        <v>19</v>
      </c>
      <c r="D122" t="str">
        <f>IFERROR(IFERROR(VLOOKUP($C122, [1]SBOM!$F:$G, 2, FALSE), VLOOKUP(VALUE($C122), [1]SBOM!$F:$G, 2, FALSE)), "")</f>
        <v>FlowArt: Dot-By-Letter, Cozy Cottage</v>
      </c>
      <c r="E122">
        <v>1</v>
      </c>
      <c r="F122" s="2">
        <f>ROUND(IFERROR(IFERROR(VLOOKUP($C122, [1]SBOM!$F:$P, 11, FALSE),VLOOKUP(VALUE($C122), [1]SBOM!$F:$P, 11, FALSE)), 0), 2)</f>
        <v>6.5</v>
      </c>
    </row>
    <row r="123" spans="1:6">
      <c r="A123" t="s">
        <v>66</v>
      </c>
      <c r="B123">
        <f t="shared" si="1"/>
        <v>2</v>
      </c>
      <c r="C123" s="1">
        <v>165005</v>
      </c>
      <c r="D123" t="str">
        <f>IFERROR(IFERROR(VLOOKUP($C123, [1]SBOM!$F:$G, 2, FALSE), VLOOKUP(VALUE($C123), [1]SBOM!$F:$G, 2, FALSE)), "")</f>
        <v>FlowArt: Dot-By-Letter, Botanicals</v>
      </c>
      <c r="E123">
        <v>1</v>
      </c>
      <c r="F123" s="2">
        <f>ROUND(IFERROR(IFERROR(VLOOKUP($C123, [1]SBOM!$F:$P, 11, FALSE),VLOOKUP(VALUE($C123), [1]SBOM!$F:$P, 11, FALSE)), 0), 2)</f>
        <v>6.5</v>
      </c>
    </row>
    <row r="124" spans="1:6">
      <c r="A124" t="s">
        <v>66</v>
      </c>
      <c r="B124">
        <f t="shared" si="1"/>
        <v>3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1</v>
      </c>
      <c r="F124" s="2">
        <f>ROUND(IFERROR(IFERROR(VLOOKUP($C124, [1]SBOM!$F:$P, 11, FALSE),VLOOKUP(VALUE($C124), [1]SBOM!$F:$P, 11, FALSE)), 0), 2)</f>
        <v>6.5</v>
      </c>
    </row>
  </sheetData>
  <autoFilter ref="A4:F124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2026-09-02T19:32:02Z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