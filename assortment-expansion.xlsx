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12C4AD93-9EA0-481B-A797-B930415455D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1" l="1"/>
  <c r="D72" i="1"/>
  <c r="D71" i="1"/>
  <c r="D136" i="1"/>
  <c r="D131" i="1"/>
  <c r="D110" i="1"/>
  <c r="B58" i="1"/>
  <c r="B59" i="1" s="1"/>
  <c r="D59" i="1"/>
  <c r="D58" i="1"/>
  <c r="D16" i="1"/>
  <c r="D9" i="1"/>
  <c r="D12" i="1"/>
  <c r="D5" i="1"/>
  <c r="D6" i="1"/>
  <c r="B81" i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D48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5" i="1"/>
  <c r="D134" i="1"/>
  <c r="D133" i="1"/>
  <c r="D132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0" i="1"/>
  <c r="D69" i="1"/>
  <c r="D68" i="1"/>
  <c r="D67" i="1"/>
  <c r="D66" i="1"/>
  <c r="D65" i="1"/>
  <c r="D64" i="1"/>
  <c r="D63" i="1"/>
  <c r="D62" i="1"/>
  <c r="D61" i="1"/>
  <c r="D60" i="1"/>
  <c r="D57" i="1"/>
  <c r="D56" i="1"/>
  <c r="D55" i="1"/>
  <c r="D54" i="1"/>
  <c r="D53" i="1"/>
  <c r="D52" i="1"/>
  <c r="D51" i="1"/>
  <c r="D50" i="1"/>
  <c r="D49" i="1"/>
  <c r="D47" i="1"/>
  <c r="D46" i="1"/>
  <c r="D45" i="1"/>
  <c r="D44" i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</calcChain>
</file>

<file path=xl/sharedStrings.xml><?xml version="1.0" encoding="utf-8"?>
<sst xmlns="http://schemas.openxmlformats.org/spreadsheetml/2006/main" count="414" uniqueCount="93">
  <si>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</si>
  <si>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</si>
  <si>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</si>
  <si>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</si>
  <si>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</si>
  <si>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</si>
  <si>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</si>
  <si>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</si>
  <si>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</si>
  <si>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</si>
  <si>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</si>
  <si>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</si>
  <si>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</si>
  <si>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</si>
  <si>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</si>
  <si>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</si>
  <si>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</si>
  <si>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</si>
  <si>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</si>
  <si>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</si>
  <si>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</si>
  <si>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</si>
  <si>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</si>
  <si>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</si>
  <si>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</si>
  <si>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</si>
  <si>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</si>
  <si>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</si>
  <si>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</si>
  <si>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</si>
  <si>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</si>
  <si>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</si>
  <si>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</si>
  <si>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</si>
  <si>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</si>
  <si>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</si>
  <si>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</si>
  <si>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</si>
  <si>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</si>
  <si>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</si>
  <si>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</si>
  <si>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</si>
  <si>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</si>
  <si>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</si>
  <si>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</si>
  <si>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</si>
  <si>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</si>
  <si>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</si>
  <si>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</si>
  <si>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</si>
  <si>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</si>
  <si>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</si>
  <si>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</si>
  <si>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</si>
  <si>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</si>
  <si>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</si>
  <si>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</si>
  <si>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</si>
  <si>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</si>
  <si>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</si>
  <si>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</si>
  <si>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</si>
  <si>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</si>
  <si>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</si>
  <si>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</si>
  <si>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</si>
  <si>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</si>
  <si>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</si>
  <si>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</si>
  <si>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</si>
  <si>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</si>
  <si>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</si>
  <si>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</si>
  <si>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</si>
  <si>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</si>
  <si>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</si>
  <si>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</si>
  <si>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</si>
  <si>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</si>
  <si>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</si>
  <si>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</si>
  <si>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</si>
  <si>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</si>
  <si>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</si>
  <si>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</si>
  <si>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</si>
  <si>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</si>
  <si>
    <t>LL-99-0014</t>
  </si>
  <si>
    <t>LL-16-3290</t>
  </si>
  <si>
    <t>LL-16-3366</t>
  </si>
  <si>
    <t>LL-16-3367</t>
  </si>
  <si>
    <t>LL-12-3213</t>
  </si>
  <si>
    <t>LL-12-3214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</si>
</sst>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A1" t="str">
            <v>Date Created</v>
          </cell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Grounding Stones - Tactile Set - "Classic"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F149"/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DIFFUSER, LED,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DIFFUSER, LED,Frosted Glass (Cream)</v>
          </cell>
        </row>
        <row r="176">
          <cell r="F176" t="str">
            <v>11-1612</v>
          </cell>
          <cell r="G176" t="str">
            <v>DIFFUSER, LED, Frosted Glass (Charcoal)</v>
          </cell>
        </row>
        <row r="177">
          <cell r="F177" t="str">
            <v>11-1616</v>
          </cell>
          <cell r="G177" t="str">
            <v>DIFFUSER, LED, Marble</v>
          </cell>
        </row>
        <row r="178">
          <cell r="F178" t="str">
            <v>11-1617</v>
          </cell>
          <cell r="G178" t="str">
            <v>DIFFUSER, LED,Bubble (Cream)</v>
          </cell>
        </row>
        <row r="179">
          <cell r="F179" t="str">
            <v>11-1619</v>
          </cell>
          <cell r="G179" t="str">
            <v>DIFFUSER, LED, Bubble (Green)</v>
          </cell>
        </row>
        <row r="180">
          <cell r="F180">
            <v>111618</v>
          </cell>
          <cell r="G180" t="str">
            <v>DIFFUSER, LED,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DIFFUSER, LED, QVC Deal - Green [Fir + Fresia]</v>
          </cell>
        </row>
        <row r="185">
          <cell r="F185" t="str">
            <v>LL-14-3339</v>
          </cell>
          <cell r="G185" t="str">
            <v>DIFFUSER, LED, QVC Deal - Blue [Mahogany + Mango]</v>
          </cell>
        </row>
        <row r="186">
          <cell r="F186" t="str">
            <v>LL-14-3340</v>
          </cell>
          <cell r="G186" t="str">
            <v>DIFFUSER, LED, QVC Deal - Pink [Berry + Rose]</v>
          </cell>
        </row>
        <row r="187">
          <cell r="F187" t="str">
            <v>LL-14-3431</v>
          </cell>
          <cell r="G187" t="str">
            <v>DIFFUSER, LED, QVC Deal - White [Vanilla + Hibiscus]</v>
          </cell>
        </row>
        <row r="188">
          <cell r="F188" t="str">
            <v>LL-14-3452</v>
          </cell>
          <cell r="G188" t="str">
            <v>DIFFUSER, LED, Ribbed Mauve [In Bloom + Coco Hibiscus]</v>
          </cell>
        </row>
        <row r="189">
          <cell r="F189" t="str">
            <v>LL-14-3453</v>
          </cell>
          <cell r="G189" t="str">
            <v>DIFFUSER, LED, Ribbed Amber [Citrus + Herbal]</v>
          </cell>
        </row>
        <row r="190">
          <cell r="F190" t="str">
            <v>LL-14-3454</v>
          </cell>
          <cell r="G190" t="str">
            <v>DIFFUSER, LED, Frosted Oatmeal [WITW + Desert Winds]</v>
          </cell>
        </row>
        <row r="191">
          <cell r="F191" t="str">
            <v>LL-14-3455</v>
          </cell>
          <cell r="G191" t="str">
            <v>DIFFUSER, LED, Frosted Blue [Coco Hibiscus + CMA]</v>
          </cell>
        </row>
        <row r="192">
          <cell r="F192" t="str">
            <v>LL-14-3085</v>
          </cell>
          <cell r="G192" t="str">
            <v>DIFFUSER, LED, Bubble (Blue)</v>
          </cell>
        </row>
        <row r="193">
          <cell r="F193" t="str">
            <v>LL-14-3432</v>
          </cell>
          <cell r="G193" t="str">
            <v>DIFFUSER, LED, Iridescent - Vanilla Cashmere</v>
          </cell>
        </row>
        <row r="194">
          <cell r="F194" t="str">
            <v>LL-14-3086</v>
          </cell>
          <cell r="G194" t="str">
            <v>Blue Bubble  Planter Diffuser - Desert Canyon Air</v>
          </cell>
        </row>
        <row r="195">
          <cell r="F195">
            <v>110454</v>
          </cell>
          <cell r="G195" t="str">
            <v>ClickWick™ Replacement Bloom, Citrus (Universal)</v>
          </cell>
        </row>
        <row r="196">
          <cell r="F196">
            <v>110455</v>
          </cell>
          <cell r="G196" t="str">
            <v>ClickWick™ Replacement Woodsy, Mountain (Universal)</v>
          </cell>
        </row>
        <row r="197">
          <cell r="F197">
            <v>989521</v>
          </cell>
          <cell r="G197" t="str">
            <v>Lifelines Scented Lava Pen, Highlighter &amp; Pencil (11-2508 &amp; 11-2509 &amp; 11-2507)</v>
          </cell>
        </row>
        <row r="198">
          <cell r="F198">
            <v>989522</v>
          </cell>
          <cell r="G198" t="str">
            <v>Lifelines Meadow Journal, Highlighter, Pen Diffuser &amp; Pencil  (16-0109 &amp; 11-2509 &amp; 11-2504 &amp; 11-2507)</v>
          </cell>
        </row>
        <row r="199">
          <cell r="F199">
            <v>989523</v>
          </cell>
          <cell r="G199" t="str">
            <v xml:space="preserve">Lifelines Ocean Journal, Highlighter, Pen Diffuser &amp; Pencil (16-0103 &amp; 11-2509 &amp; 11-2504 &amp; 11-2507) </v>
          </cell>
        </row>
        <row r="200">
          <cell r="F200">
            <v>110456</v>
          </cell>
          <cell r="G200" t="str">
            <v>ClickWick™ Replacement Woodsy, Herbal (Universal) - 2pk</v>
          </cell>
        </row>
        <row r="201">
          <cell r="F201">
            <v>110511</v>
          </cell>
          <cell r="G201" t="str">
            <v>Herbal Garden - 2pk oils (7.5ML)</v>
          </cell>
        </row>
        <row r="202">
          <cell r="F202" t="str">
            <v>98-9221</v>
          </cell>
          <cell r="G202" t="str">
            <v>Waves + Oil BOX  Set (5 oils)</v>
          </cell>
        </row>
        <row r="203">
          <cell r="F203" t="str">
            <v>LL-12-3021</v>
          </cell>
          <cell r="G203" t="str">
            <v>Scented Lava Pen Set- 10-pack</v>
          </cell>
        </row>
        <row r="204">
          <cell r="F204" t="str">
            <v>LL-12-3102</v>
          </cell>
          <cell r="G204" t="str">
            <v>Scented Lava Pen Set- 5-pack (Brights)</v>
          </cell>
        </row>
        <row r="205">
          <cell r="F205" t="str">
            <v>11-2508</v>
          </cell>
          <cell r="G205" t="str">
            <v>Scented Lava Pen Set- 5-pack</v>
          </cell>
        </row>
        <row r="206">
          <cell r="F206" t="str">
            <v>LL-11-2508-V2</v>
          </cell>
          <cell r="G206" t="str">
            <v>Scented Lava Pen Set- 5-pack</v>
          </cell>
        </row>
        <row r="207">
          <cell r="F207" t="str">
            <v>11-2508-V2</v>
          </cell>
          <cell r="G207" t="str">
            <v>Scented Lava Pen Set- 5-pack</v>
          </cell>
        </row>
        <row r="208">
          <cell r="F208" t="str">
            <v>LL-11-2508-CP12</v>
          </cell>
          <cell r="G208" t="str">
            <v xml:space="preserve">Scented Lava Pen Set- 5-pack </v>
          </cell>
        </row>
        <row r="209">
          <cell r="F209" t="str">
            <v>LL-12-3104</v>
          </cell>
          <cell r="G209" t="str">
            <v>Scented Lava Pen Set- 5-pack (Winter)</v>
          </cell>
        </row>
        <row r="210">
          <cell r="F210" t="str">
            <v>11-2509</v>
          </cell>
          <cell r="G210" t="str">
            <v>Scented Stacking Highlighters - 2-pack</v>
          </cell>
        </row>
        <row r="211">
          <cell r="F211" t="str">
            <v>11-2509-CP12</v>
          </cell>
          <cell r="G211" t="str">
            <v>Scented Stacking Highlighters - 2-pack</v>
          </cell>
        </row>
        <row r="212">
          <cell r="F212" t="str">
            <v>LL-12-3365</v>
          </cell>
          <cell r="G212" t="str">
            <v>DbL Marker Extension Tray - 8</v>
          </cell>
        </row>
        <row r="213">
          <cell r="F213" t="str">
            <v>LL-12-3379</v>
          </cell>
          <cell r="G213" t="str">
            <v>DbL Marker Extension Tray - 4</v>
          </cell>
        </row>
        <row r="214">
          <cell r="F214" t="str">
            <v>LL-12-3018</v>
          </cell>
          <cell r="G214" t="str">
            <v>Scented Marker 10 Colors</v>
          </cell>
        </row>
        <row r="215">
          <cell r="F215" t="str">
            <v>LL-12-3019</v>
          </cell>
          <cell r="G215" t="str">
            <v>Scented Marker 20 Colors</v>
          </cell>
        </row>
        <row r="216">
          <cell r="F216" t="str">
            <v>LL-12-3082</v>
          </cell>
          <cell r="G216" t="str">
            <v xml:space="preserve">Scented Lava Pen Set - 2-pack (Purple / Orange) </v>
          </cell>
        </row>
        <row r="217">
          <cell r="F217" t="str">
            <v>LL-12-3109</v>
          </cell>
          <cell r="G217" t="str">
            <v xml:space="preserve">Scented Lava Pen Set - 2-pack (Pink / Purple) </v>
          </cell>
        </row>
        <row r="218">
          <cell r="F218" t="str">
            <v>LL-12-3110</v>
          </cell>
          <cell r="G218" t="str">
            <v xml:space="preserve">Scented Lava Pen Set - 2-pack (Lime Green / Violet) </v>
          </cell>
        </row>
        <row r="219">
          <cell r="F219" t="str">
            <v>11-2520</v>
          </cell>
          <cell r="G219" t="str">
            <v>Scented Lava Pen Set - 2-pack (Black / Red)</v>
          </cell>
        </row>
        <row r="220">
          <cell r="F220" t="str">
            <v>11-2521</v>
          </cell>
          <cell r="G220" t="str">
            <v xml:space="preserve">Scented Lava Pen Set - 2-pack (Blue / Red) </v>
          </cell>
        </row>
        <row r="221">
          <cell r="F221" t="str">
            <v>LL-12-3066</v>
          </cell>
          <cell r="G221" t="str">
            <v xml:space="preserve">Scented Lava Pen Set - 2-pack (Blue / Green) </v>
          </cell>
        </row>
        <row r="222">
          <cell r="F222" t="str">
            <v>LL-12-3155</v>
          </cell>
          <cell r="G222" t="str">
            <v xml:space="preserve">Scented Lava Pen Set - 2-pack (Brown / Violet) </v>
          </cell>
        </row>
        <row r="223">
          <cell r="F223" t="str">
            <v>LL-12-3156</v>
          </cell>
          <cell r="G223" t="str">
            <v xml:space="preserve">Scented Lava Pen Set - 2-pack (TBD / TBD) </v>
          </cell>
        </row>
        <row r="224">
          <cell r="F224" t="str">
            <v>LL-12-3066-CP12</v>
          </cell>
          <cell r="G224" t="str">
            <v xml:space="preserve">Scented Lava Pen Set - 2-pack (Blue / Green) </v>
          </cell>
        </row>
        <row r="225">
          <cell r="F225" t="str">
            <v>LL-12-3082-CP12</v>
          </cell>
          <cell r="G225" t="str">
            <v>Lava Pen 2 Pack - Purple/Orange</v>
          </cell>
        </row>
        <row r="226">
          <cell r="F226" t="str">
            <v>LL-11-2520-CP12</v>
          </cell>
          <cell r="G226" t="str">
            <v>Lava Pen 2 Pack - Black/Red</v>
          </cell>
        </row>
        <row r="227">
          <cell r="F227" t="str">
            <v>LL-12-3105</v>
          </cell>
          <cell r="G227" t="str">
            <v>Lava Pen 2 PK - Holiday 2</v>
          </cell>
        </row>
        <row r="228">
          <cell r="F228" t="str">
            <v>LL-12-3106</v>
          </cell>
          <cell r="G228" t="str">
            <v>Lava Pen 2 PK - Holiday 3</v>
          </cell>
        </row>
        <row r="229">
          <cell r="F229" t="str">
            <v>LL-12-3107</v>
          </cell>
          <cell r="G229" t="str">
            <v>Lava Pen 2 PK - NPI #1</v>
          </cell>
        </row>
        <row r="230">
          <cell r="F230" t="str">
            <v>LL-12-3108</v>
          </cell>
          <cell r="G230" t="str">
            <v>Lava Pen 2 PK - NPI #2</v>
          </cell>
        </row>
        <row r="231">
          <cell r="F231" t="str">
            <v>LL-12-3288</v>
          </cell>
          <cell r="G231" t="str">
            <v>Pen Discovery Set - 6Pck</v>
          </cell>
        </row>
        <row r="232">
          <cell r="F232" t="str">
            <v>LL-12-3242</v>
          </cell>
          <cell r="G232" t="str">
            <v>Visual Symphony Pen, Glitter 10Pck</v>
          </cell>
        </row>
        <row r="233">
          <cell r="F233" t="str">
            <v>LL-12-3213</v>
          </cell>
          <cell r="G233" t="str">
            <v>Visual Symphony Pen, Glitter 5Pck</v>
          </cell>
        </row>
        <row r="234">
          <cell r="F234" t="str">
            <v>LL-12-3233</v>
          </cell>
          <cell r="G234" t="str">
            <v>Visual Symphony Pen, Glitter 2Pck (Teal / Purple)</v>
          </cell>
        </row>
        <row r="235">
          <cell r="F235" t="str">
            <v>LL-12-3214</v>
          </cell>
          <cell r="G235" t="str">
            <v>Visual Symphony Pen, Swirl 5Pck</v>
          </cell>
        </row>
        <row r="236">
          <cell r="F236" t="str">
            <v>LL-12-3238</v>
          </cell>
          <cell r="G236" t="str">
            <v>Visual Symphony Pen, Swirl 2Pck (X / X)</v>
          </cell>
        </row>
        <row r="237">
          <cell r="F237">
            <v>989518</v>
          </cell>
          <cell r="G237" t="str">
            <v>Lifelines Frosted Cream Candle with Clickwick (11-1603 &amp; 110455 Woodsy)</v>
          </cell>
        </row>
        <row r="238">
          <cell r="F238">
            <v>989519</v>
          </cell>
          <cell r="G238" t="str">
            <v>Lifelines Frosted Charcoal Candle with Clickwick (11-1612 &amp; 110454 Citrus/Bloom)</v>
          </cell>
        </row>
        <row r="239">
          <cell r="F239">
            <v>989520</v>
          </cell>
          <cell r="G239" t="str">
            <v>Lifelines Grass Planter with Clickwick (11-1608 &amp; 110454 citrus)</v>
          </cell>
        </row>
        <row r="240">
          <cell r="F240">
            <v>119008</v>
          </cell>
          <cell r="G240" t="str">
            <v>Essential Oil Blend Discovery Set - 5-pack (Winter)</v>
          </cell>
        </row>
        <row r="241">
          <cell r="F241">
            <v>119010</v>
          </cell>
          <cell r="G241" t="str">
            <v>Sensory Immersion™ Gift Set (Winter)</v>
          </cell>
        </row>
        <row r="242">
          <cell r="F242">
            <v>112513</v>
          </cell>
          <cell r="G242" t="str">
            <v>Rub &amp; Sniff™ Scented Colored Pencils - 10-pack (Winter)</v>
          </cell>
        </row>
        <row r="243">
          <cell r="F243">
            <v>112519</v>
          </cell>
          <cell r="G243" t="str">
            <v>Rub &amp; Sniff™ Scented Colored Pencils - 20-pack (Scents of the Seasons)</v>
          </cell>
        </row>
        <row r="244">
          <cell r="F244" t="str">
            <v>11-0450</v>
          </cell>
          <cell r="G244" t="str">
            <v xml:space="preserve">Essential Oil Blends ClickWick™ Refills - 4-pack Discovery Set </v>
          </cell>
        </row>
        <row r="245">
          <cell r="F245" t="str">
            <v>11-0450-CP24</v>
          </cell>
          <cell r="G245" t="str">
            <v xml:space="preserve">Essential Oil Blends ClickWick™ Refills - 4-pack Discovery Set </v>
          </cell>
        </row>
        <row r="246">
          <cell r="F246" t="str">
            <v>11-0450-A</v>
          </cell>
          <cell r="G246" t="str">
            <v>Essential Oil Blends ClickWick™ Refills - 4-pack Discovery Set  - Non Retail Packaging</v>
          </cell>
        </row>
        <row r="247">
          <cell r="F247" t="str">
            <v>LL-11-3077</v>
          </cell>
          <cell r="G247" t="str">
            <v>Clickwick 7.5ml Single - In Bloom</v>
          </cell>
        </row>
        <row r="248">
          <cell r="F248" t="str">
            <v>LL-11-3078</v>
          </cell>
          <cell r="G248" t="str">
            <v>Clickwick 7.5ml Single - Woods</v>
          </cell>
        </row>
        <row r="249">
          <cell r="F249" t="str">
            <v>LL-11-3079</v>
          </cell>
          <cell r="G249" t="str">
            <v>Clickwick 7.5ml Single - Herbal</v>
          </cell>
        </row>
        <row r="250">
          <cell r="F250" t="str">
            <v>LL-11-3080</v>
          </cell>
          <cell r="G250" t="str">
            <v>Clickwick 7.5ml Single - Citrus</v>
          </cell>
        </row>
        <row r="251">
          <cell r="F251" t="str">
            <v>LL-11-3081</v>
          </cell>
          <cell r="G251" t="str">
            <v>Clickwick 7.5ml Single - CMA</v>
          </cell>
        </row>
        <row r="252">
          <cell r="F252" t="str">
            <v>LL-11-3072</v>
          </cell>
          <cell r="G252" t="str">
            <v>Clickwick 7.5ml Single - Vanilla Bean</v>
          </cell>
        </row>
        <row r="253">
          <cell r="F253" t="str">
            <v>LL-11-3093</v>
          </cell>
          <cell r="G253" t="str">
            <v>Clickwick 7.5ml Single - Salted Coconut</v>
          </cell>
        </row>
        <row r="254">
          <cell r="F254" t="str">
            <v>LL-11-3094</v>
          </cell>
          <cell r="G254" t="str">
            <v>Clickwick 7.5ml Single - Desert Canyon Air [Bubble Bag]</v>
          </cell>
        </row>
        <row r="255">
          <cell r="F255" t="str">
            <v>LL-11-3095</v>
          </cell>
          <cell r="G255" t="str">
            <v>Clickwick 7.5ml Single - Peach Velvet [Bubble Bag]</v>
          </cell>
        </row>
        <row r="256">
          <cell r="F256" t="str">
            <v>LL-11-3096</v>
          </cell>
          <cell r="G256" t="str">
            <v>Clickwick 7.5ml Single - Vanilla Tangerine</v>
          </cell>
        </row>
        <row r="257">
          <cell r="F257" t="str">
            <v>LL-11-3097</v>
          </cell>
          <cell r="G257" t="str">
            <v>Clickwick 7.5ml Single - Crisp Green Apple</v>
          </cell>
        </row>
        <row r="258">
          <cell r="F258" t="str">
            <v>LL-11-3098</v>
          </cell>
          <cell r="G258" t="str">
            <v>Clickwick 7.5ml Single - Rose &amp; Pink Pepper [Bubble Bag]</v>
          </cell>
        </row>
        <row r="259">
          <cell r="F259" t="str">
            <v>LL-11-3099</v>
          </cell>
          <cell r="G259" t="str">
            <v>Clickwick 7.5ml Single - Spiced Orange</v>
          </cell>
        </row>
        <row r="260">
          <cell r="F260" t="str">
            <v>LL-11-3100</v>
          </cell>
          <cell r="G260" t="str">
            <v>Clickwick 7.5ml Single - Freesia Fields [Bubble Bag]</v>
          </cell>
        </row>
        <row r="261">
          <cell r="F261" t="str">
            <v>LL-11-3101</v>
          </cell>
          <cell r="G261" t="str">
            <v>Clickwick 7.5ml Single - Aspen Breeze</v>
          </cell>
        </row>
        <row r="262">
          <cell r="F262" t="str">
            <v>LL-11-3345</v>
          </cell>
          <cell r="G262" t="str">
            <v>Clickwick 7.5ml Single - Warm Mahogony [Bubble Bag]</v>
          </cell>
        </row>
        <row r="263">
          <cell r="F263" t="str">
            <v>LL-11-3346</v>
          </cell>
          <cell r="G263" t="str">
            <v>Clickwick 7.5ml Single - Frosted Fir [Bubble Bag]</v>
          </cell>
        </row>
        <row r="264">
          <cell r="F264" t="str">
            <v>LL-11-3347</v>
          </cell>
          <cell r="G264" t="str">
            <v>Clickwick 7.5ml Single - Midnight Berry [Bubble Bag]</v>
          </cell>
        </row>
        <row r="265">
          <cell r="F265" t="str">
            <v>LL-11-3348</v>
          </cell>
          <cell r="G265" t="str">
            <v>Clickwick 7.5ml Single - Coconut Hibiscus [Bubble Bag]</v>
          </cell>
        </row>
        <row r="266">
          <cell r="F266" t="str">
            <v>LL-11-3349</v>
          </cell>
          <cell r="G266" t="str">
            <v>Clickwick 7.5ml Single - Earthy Mango [Bubble Bag]</v>
          </cell>
        </row>
        <row r="267">
          <cell r="F267" t="str">
            <v>LL-11-3291</v>
          </cell>
          <cell r="G267" t="str">
            <v>Clickwick 7.5ml Single - Vanilla Cashmere [Bubble Bag]</v>
          </cell>
        </row>
        <row r="268">
          <cell r="F268" t="str">
            <v>LL-11-3440</v>
          </cell>
          <cell r="G268" t="str">
            <v>Clickwick 7.5ml Single - Autumn's Glow [Bubble Bag]</v>
          </cell>
        </row>
        <row r="269">
          <cell r="F269" t="str">
            <v>LL-11-3441</v>
          </cell>
          <cell r="G269" t="str">
            <v>Clickwick 7.5ml Single - Vanilla Plum Bliss [Bubble Bag]</v>
          </cell>
        </row>
        <row r="270">
          <cell r="F270" t="str">
            <v>LL-11-3442</v>
          </cell>
          <cell r="G270" t="str">
            <v>Clickwick 7.5ml Single - Pumpkin Spiced Latte [Bubble Bag]</v>
          </cell>
        </row>
        <row r="271">
          <cell r="F271" t="str">
            <v>LL-11-3443</v>
          </cell>
          <cell r="G271" t="str">
            <v>Clickwick 7.5ml Single - Fresh Picked Apples [Bubble Bag]</v>
          </cell>
        </row>
        <row r="272">
          <cell r="F272" t="str">
            <v>LL-11-3198</v>
          </cell>
          <cell r="G272" t="str">
            <v>ClickWick: Walk-in-the-Woods 3PK</v>
          </cell>
        </row>
        <row r="273">
          <cell r="F273" t="str">
            <v>LL-11-3199</v>
          </cell>
          <cell r="G273" t="str">
            <v>ClickWick: Herbal 3PK</v>
          </cell>
        </row>
        <row r="274">
          <cell r="F274" t="str">
            <v>LL-11-3194</v>
          </cell>
          <cell r="G274" t="str">
            <v>ClickWick: In Bloom 3PK</v>
          </cell>
        </row>
        <row r="275">
          <cell r="F275" t="str">
            <v>LL-11-3195</v>
          </cell>
          <cell r="G275" t="str">
            <v>ClickWick: Citrus Grove 3PK</v>
          </cell>
        </row>
        <row r="276">
          <cell r="F276" t="str">
            <v>LL-11-3234</v>
          </cell>
          <cell r="G276" t="str">
            <v>ClickWick: Very Vanilla: 3PK</v>
          </cell>
        </row>
        <row r="277">
          <cell r="F277" t="str">
            <v>LL-11-3235</v>
          </cell>
          <cell r="G277" t="str">
            <v>ClickWick: Salted Coconut: 3PK</v>
          </cell>
        </row>
        <row r="278">
          <cell r="F278" t="str">
            <v>LL-11-3236</v>
          </cell>
          <cell r="G278" t="str">
            <v>ClickWick: Peach Velvet: 3PK</v>
          </cell>
        </row>
        <row r="279">
          <cell r="F279" t="str">
            <v>LL-11-3237</v>
          </cell>
          <cell r="G279" t="str">
            <v>ClickWick: Spiced Rose: 3PK</v>
          </cell>
        </row>
        <row r="280">
          <cell r="F280" t="str">
            <v>LL-11-3240</v>
          </cell>
          <cell r="G280" t="str">
            <v>ClickWick: Frosted Fir: 3PK</v>
          </cell>
        </row>
        <row r="281">
          <cell r="F281" t="str">
            <v>LL-11-3241</v>
          </cell>
          <cell r="G281" t="str">
            <v>ClickWick: Warm Mahogany: 3PK</v>
          </cell>
        </row>
        <row r="282">
          <cell r="F282" t="str">
            <v>LL-11-3306</v>
          </cell>
          <cell r="G282" t="str">
            <v>ClickWick: Vanilla Cashmere: 3PK</v>
          </cell>
        </row>
        <row r="283">
          <cell r="F283" t="str">
            <v>LL-11-3006</v>
          </cell>
          <cell r="G283" t="str">
            <v>Clickwick 2 Pack - Desert Canyon Air &amp; Salted Coconut (Target)</v>
          </cell>
        </row>
        <row r="284">
          <cell r="F284" t="str">
            <v>LL-11-3007</v>
          </cell>
          <cell r="G284" t="str">
            <v>Clickwick 2 Pack - Vanilla Tangerine &amp; Peach Linen (Target)</v>
          </cell>
        </row>
        <row r="285">
          <cell r="F285" t="str">
            <v>LL-11-3008</v>
          </cell>
          <cell r="G285" t="str">
            <v>Clickwick 4 PK - Sun-Kissed Escape ClickWick Collection</v>
          </cell>
        </row>
        <row r="286">
          <cell r="F286" t="str">
            <v>LL-11-3064</v>
          </cell>
          <cell r="G286" t="str">
            <v>Clickwick 4 PK - Lush Earth ClickWick Collection</v>
          </cell>
        </row>
        <row r="287">
          <cell r="F287" t="str">
            <v>LL-11-3292</v>
          </cell>
          <cell r="G287" t="str">
            <v>Fall Clickwick 4PK</v>
          </cell>
        </row>
        <row r="288">
          <cell r="F288" t="str">
            <v>LL-11-3103</v>
          </cell>
          <cell r="G288" t="str">
            <v>Winter Clickwick 4PK</v>
          </cell>
        </row>
        <row r="289">
          <cell r="F289">
            <v>993014</v>
          </cell>
          <cell r="G289" t="str">
            <v>BNC FlowArt Assorted Shipper Display (Spring 2025)</v>
          </cell>
        </row>
        <row r="290">
          <cell r="F290">
            <v>165001</v>
          </cell>
          <cell r="G290" t="str">
            <v>FlowArt: Dot-Pop, Natural Flow</v>
          </cell>
        </row>
        <row r="291">
          <cell r="F291">
            <v>165005</v>
          </cell>
          <cell r="G291" t="str">
            <v>FlowArt: Dot-By-Letter, Botanicals</v>
          </cell>
        </row>
        <row r="292">
          <cell r="F292">
            <v>165006</v>
          </cell>
          <cell r="G292" t="str">
            <v>FlowArt: Illuminate &amp; Create, Wildlife</v>
          </cell>
        </row>
        <row r="293">
          <cell r="F293">
            <v>165007</v>
          </cell>
          <cell r="G293" t="str">
            <v>FlowArt: Pogo-Dot, Nature</v>
          </cell>
        </row>
        <row r="294">
          <cell r="F294">
            <v>165008</v>
          </cell>
          <cell r="G294" t="str">
            <v>FlowArt: Dot-By-Letter, Landscapes</v>
          </cell>
        </row>
        <row r="295">
          <cell r="F295">
            <v>165009</v>
          </cell>
          <cell r="G295" t="str">
            <v>FlowArt: Illuminate &amp; Create, Foliage and Flowers</v>
          </cell>
        </row>
        <row r="296">
          <cell r="F296">
            <v>165012</v>
          </cell>
          <cell r="G296" t="str">
            <v>FlowArt: Color-to-Reveal, Animals</v>
          </cell>
        </row>
        <row r="297">
          <cell r="F297">
            <v>165014</v>
          </cell>
          <cell r="G297" t="str">
            <v>FlowArt: Stamp by Shape, Mediterranean</v>
          </cell>
        </row>
        <row r="298">
          <cell r="F298" t="str">
            <v>LL-16-3429</v>
          </cell>
          <cell r="G298" t="str">
            <v>FlowArt: Dot-By-Letter, Botanicals - D03</v>
          </cell>
        </row>
        <row r="299">
          <cell r="F299" t="str">
            <v>LL-16-3430</v>
          </cell>
          <cell r="G299" t="str">
            <v>FlowArt: Dot-By-Letter, Landscapes - D03</v>
          </cell>
        </row>
        <row r="300">
          <cell r="F300" t="str">
            <v>LL-16-3385</v>
          </cell>
          <cell r="G300" t="str">
            <v>FlowArt: Dot-By-Letter, Americana - D03</v>
          </cell>
        </row>
        <row r="301">
          <cell r="F301" t="str">
            <v>LL-16-3384</v>
          </cell>
          <cell r="G301" t="str">
            <v>FlowArt: Dot-By-Letter, Into the Deep [Metallic ink] - D03</v>
          </cell>
        </row>
        <row r="302">
          <cell r="F302" t="str">
            <v>LL-16-3433</v>
          </cell>
          <cell r="G302" t="str">
            <v>FlowArt: Dot-By-Letter, Birds Song in Bloom [Metallic]</v>
          </cell>
        </row>
        <row r="303">
          <cell r="F303" t="str">
            <v>LL-16-3148</v>
          </cell>
          <cell r="G303" t="str">
            <v>FlowArt: Dot-By-Letter, Into the Galaxy [Metallic ink]</v>
          </cell>
        </row>
        <row r="304">
          <cell r="F304" t="str">
            <v>LL-16-3153</v>
          </cell>
          <cell r="G304" t="str">
            <v>FlowArt: Dot-By-Letter, Into the Deep [Metallic ink]</v>
          </cell>
        </row>
        <row r="305">
          <cell r="F305" t="str">
            <v>LL-16-3148-V3</v>
          </cell>
          <cell r="G305" t="str">
            <v>FlowArt: Dot-By-Letter, Into the Galaxy [Metallic ink]</v>
          </cell>
        </row>
        <row r="306">
          <cell r="F306" t="str">
            <v>LL-16-3153-V3</v>
          </cell>
          <cell r="G306" t="str">
            <v>FlowArt: Dot-By-Letter, Into the Deep [Metallic ink]</v>
          </cell>
        </row>
        <row r="307">
          <cell r="F307" t="str">
            <v>LL-16-3149</v>
          </cell>
          <cell r="G307" t="str">
            <v>FlowArt: Dot-By-Letter, Cozy Cottage</v>
          </cell>
        </row>
        <row r="308">
          <cell r="F308" t="str">
            <v>LL-16-3150</v>
          </cell>
          <cell r="G308" t="str">
            <v>FlowArt: Stamp by Shape, Secret Garden</v>
          </cell>
        </row>
        <row r="309">
          <cell r="F309" t="str">
            <v>LL-16-3151</v>
          </cell>
          <cell r="G309" t="str">
            <v>FlowArt: Color-to-Reveal, Foodie Fun</v>
          </cell>
        </row>
        <row r="310">
          <cell r="F310" t="str">
            <v>LL-16-3152</v>
          </cell>
          <cell r="G310" t="str">
            <v>FlowArt: Pogo-Dot, Groovy Vibes</v>
          </cell>
        </row>
        <row r="311">
          <cell r="F311" t="str">
            <v>LL-16-3157</v>
          </cell>
          <cell r="G311" t="str">
            <v>FlowArt: Dot-By-Letter, Pumpkins &amp; Pastures</v>
          </cell>
        </row>
        <row r="312">
          <cell r="F312" t="str">
            <v>LL-16-3158</v>
          </cell>
          <cell r="G312" t="str">
            <v>FlowArt: Dot-By-Letter, Sweater Weather [2026]</v>
          </cell>
        </row>
        <row r="313">
          <cell r="F313" t="str">
            <v>LL-16-3323</v>
          </cell>
          <cell r="G313" t="str">
            <v>FlowArt: Dot-By-Letter, Sweater Weather [2025 Version]</v>
          </cell>
        </row>
        <row r="314">
          <cell r="F314" t="str">
            <v>LL-16-3159</v>
          </cell>
          <cell r="G314" t="str">
            <v>FlowArt: Illuminate &amp; Create, Frightful Fun</v>
          </cell>
        </row>
        <row r="315">
          <cell r="F315" t="str">
            <v>LL-16-3160</v>
          </cell>
          <cell r="G315" t="str">
            <v>FlowArt: Pogo-Dot, Enchanted Forest</v>
          </cell>
        </row>
        <row r="316">
          <cell r="F316" t="str">
            <v>LL-16-3290</v>
          </cell>
          <cell r="G316" t="str">
            <v>FlowArt: Color-to-Reveal, Fall is in the Air [Scented]</v>
          </cell>
        </row>
        <row r="317">
          <cell r="F317" t="str">
            <v>LL-16-3247</v>
          </cell>
          <cell r="G317" t="str">
            <v>FlowArt: Trace-By-Line, Fall Harvest</v>
          </cell>
        </row>
        <row r="318">
          <cell r="F318" t="str">
            <v>LL-16-3248</v>
          </cell>
          <cell r="G318" t="str">
            <v>FlowArt: Dot-By-Letter, Strolling through Fall</v>
          </cell>
        </row>
        <row r="319">
          <cell r="F319" t="str">
            <v>LL-16-3162</v>
          </cell>
          <cell r="G319" t="str">
            <v>FlowArt: Dot-By-Letter, Snowed In</v>
          </cell>
        </row>
        <row r="320">
          <cell r="F320" t="str">
            <v>LL-16-3244</v>
          </cell>
          <cell r="G320" t="str">
            <v>FlowArt: Dot-By-Letter, Winter's Glow [Metallic ink]</v>
          </cell>
        </row>
        <row r="321">
          <cell r="F321" t="str">
            <v>LL-16-3245</v>
          </cell>
          <cell r="G321" t="str">
            <v>FlowArt: Dot-By-Letter, Winter Wonderland</v>
          </cell>
        </row>
        <row r="322">
          <cell r="F322" t="str">
            <v>LL-16-3246</v>
          </cell>
          <cell r="G322" t="str">
            <v>FlowArt: Color-to-Reveal, Home for the Holidays [Scented]</v>
          </cell>
        </row>
        <row r="323">
          <cell r="F323" t="str">
            <v>LL-16-3366</v>
          </cell>
          <cell r="G323" t="str">
            <v>FlowArt: Color-To-Reveal, Snowy Village [Scented]</v>
          </cell>
        </row>
        <row r="324">
          <cell r="F324" t="str">
            <v>LL-16-3163</v>
          </cell>
          <cell r="G324" t="str">
            <v>FlowArt: Illuminate &amp; Create, Winter Cheer (Typography)</v>
          </cell>
        </row>
        <row r="325">
          <cell r="F325" t="str">
            <v>LL-16-3367</v>
          </cell>
          <cell r="G325" t="str">
            <v>FlowArt: Trace-by-Line, Gingerbread Delight</v>
          </cell>
        </row>
        <row r="326">
          <cell r="F326" t="str">
            <v>LL-16-3368</v>
          </cell>
          <cell r="G326" t="str">
            <v>FlowArt: Dot-By-Letter, Frosty Fun</v>
          </cell>
        </row>
        <row r="327">
          <cell r="F327" t="str">
            <v>LL-16-3369</v>
          </cell>
          <cell r="G327" t="str">
            <v>FlowArt: Dot-By-Letter, Holiday Helpers</v>
          </cell>
        </row>
        <row r="328">
          <cell r="F328" t="str">
            <v>LL-16-3371</v>
          </cell>
          <cell r="G328" t="str">
            <v>FlowArt: Dot-By-Letter, Lovestruck - TGT</v>
          </cell>
        </row>
        <row r="329">
          <cell r="F329" t="str">
            <v>LL-16-3372</v>
          </cell>
          <cell r="G329" t="str">
            <v>FlowArt: Dot-By-Letter, Everday Inspo - TGT</v>
          </cell>
        </row>
        <row r="330">
          <cell r="F330" t="str">
            <v>LL-16-3373</v>
          </cell>
          <cell r="G330" t="str">
            <v>FlowArt: Dot-By-Letter, Sweetened With Love - TGT</v>
          </cell>
        </row>
        <row r="331">
          <cell r="F331" t="str">
            <v>LL-16-3374</v>
          </cell>
          <cell r="G331" t="str">
            <v>FlowArt: Dot-By-Letter, Moonlit Garden - TGT</v>
          </cell>
        </row>
        <row r="332">
          <cell r="F332" t="str">
            <v>LL-16-3352</v>
          </cell>
          <cell r="G332" t="str">
            <v>FlowArt: Dot-By-Letter, Sparkle &amp; Shine - TGT</v>
          </cell>
        </row>
        <row r="333">
          <cell r="F333" t="str">
            <v>LL-16-3375</v>
          </cell>
          <cell r="G333" t="str">
            <v>FlowArt: CtR, Fragrant Blooms - TGT</v>
          </cell>
        </row>
        <row r="334">
          <cell r="F334" t="str">
            <v>LL-16-3390</v>
          </cell>
          <cell r="G334" t="str">
            <v>FlowArt: Trace-By-Line, Tied with a Bow - TGT</v>
          </cell>
        </row>
        <row r="335">
          <cell r="F335" t="str">
            <v>LL-16-3391</v>
          </cell>
          <cell r="G335" t="str">
            <v>FlowArt: Trace-By-Line, A Little Me Time - TGT</v>
          </cell>
        </row>
        <row r="336">
          <cell r="F336" t="str">
            <v>LL-16-3376</v>
          </cell>
          <cell r="G336" t="str">
            <v>FlowArt: Trace-By-Line, Once Upon a Bookshelf - TGT</v>
          </cell>
        </row>
        <row r="337">
          <cell r="F337" t="str">
            <v>LL-16-3389</v>
          </cell>
          <cell r="G337" t="str">
            <v>FlowArt: Trace-By-Line, Once Upon a Bookshelf</v>
          </cell>
        </row>
        <row r="338">
          <cell r="F338" t="str">
            <v>LL-16-3395</v>
          </cell>
          <cell r="G338" t="str">
            <v>FlowArt: Trace-By-Line, A Little Me Time</v>
          </cell>
        </row>
        <row r="339">
          <cell r="F339" t="str">
            <v>LL-16-3392</v>
          </cell>
          <cell r="G339" t="str">
            <v>FlowArt: Dot-By-Letter, Sweetened With Love</v>
          </cell>
        </row>
        <row r="340">
          <cell r="F340" t="str">
            <v>LL-16-3393</v>
          </cell>
          <cell r="G340" t="str">
            <v>FlowArt: Dot-By-Letter, Sparkle &amp; Shine</v>
          </cell>
        </row>
        <row r="341">
          <cell r="F341" t="str">
            <v>LL-16-3394</v>
          </cell>
          <cell r="G341" t="str">
            <v>FlowArt: Trace-By-Line, Tied with a Bow</v>
          </cell>
        </row>
        <row r="342">
          <cell r="F342" t="str">
            <v>LL-16-3200</v>
          </cell>
          <cell r="G342" t="str">
            <v>FlowArt: Trace-By-Groove, Jungle Oasis</v>
          </cell>
        </row>
        <row r="343">
          <cell r="F343" t="str">
            <v>LL-16-3201</v>
          </cell>
          <cell r="G343" t="str">
            <v>FlowArt: Trace-By-Groove, Desert Dreams</v>
          </cell>
        </row>
        <row r="344">
          <cell r="F344" t="str">
            <v>LL-16-3204</v>
          </cell>
          <cell r="G344" t="str">
            <v>FlowArt: Trace-To-Doodle, Wild Style</v>
          </cell>
        </row>
        <row r="345">
          <cell r="F345" t="str">
            <v>LL-16-3205</v>
          </cell>
          <cell r="G345" t="str">
            <v>FlowArt: Trace-To-Doodle, Style Your Space</v>
          </cell>
        </row>
        <row r="346">
          <cell r="F346" t="str">
            <v>LL-16-3206</v>
          </cell>
          <cell r="G346" t="str">
            <v>FlowArt: Trace-By-Letter, Pack Your Bags</v>
          </cell>
        </row>
        <row r="347">
          <cell r="F347" t="str">
            <v>LL-16-3207</v>
          </cell>
          <cell r="G347" t="str">
            <v>FlowArt: Trace Within, Peaceful Pause</v>
          </cell>
        </row>
        <row r="348">
          <cell r="F348" t="str">
            <v>LL-16-3249</v>
          </cell>
          <cell r="G348" t="str">
            <v>FlowArt: Trace-By-Line, Brunch in Bloom</v>
          </cell>
        </row>
        <row r="349">
          <cell r="F349" t="str">
            <v>LL-16-3222</v>
          </cell>
          <cell r="G349" t="str">
            <v>FlowArt: Trace-By-Line, Tropical Paradise</v>
          </cell>
        </row>
        <row r="350">
          <cell r="F350" t="str">
            <v>LL-16-3223</v>
          </cell>
          <cell r="G350" t="str">
            <v>FlowArt: Trace-By-Line, Woodland Whimsy</v>
          </cell>
        </row>
        <row r="351">
          <cell r="F351" t="str">
            <v>LL-16-3411</v>
          </cell>
          <cell r="G351" t="str">
            <v>FlowArt: Trace-By-Line, Coastal Charm [WF Exclusive]</v>
          </cell>
        </row>
        <row r="352">
          <cell r="F352" t="str">
            <v>LL-16-3418</v>
          </cell>
          <cell r="G352" t="str">
            <v>FlowArt: Trace-By-Line, Life With Pets</v>
          </cell>
        </row>
        <row r="353">
          <cell r="F353" t="str">
            <v>LL-16-3420</v>
          </cell>
          <cell r="G353" t="str">
            <v>FlowArt: Trace-By-Line, Dimensional Line Tracing, Beautiful Horizons</v>
          </cell>
        </row>
        <row r="354">
          <cell r="F354" t="str">
            <v>LL-16-3448</v>
          </cell>
          <cell r="G354" t="str">
            <v>FlowArt: Trace-By-Line, Metallic #1</v>
          </cell>
        </row>
        <row r="355">
          <cell r="F355" t="str">
            <v>LL-16-3449</v>
          </cell>
          <cell r="G355" t="str">
            <v>FlowArt: Trace-By-Line, Once Upon a Bookshelf [EVGR]</v>
          </cell>
        </row>
        <row r="356">
          <cell r="F356" t="str">
            <v>LL-16-3450</v>
          </cell>
          <cell r="G356" t="str">
            <v>FlowArt: Trace-By-Line, A Little Me Time [EVGR]</v>
          </cell>
        </row>
        <row r="357">
          <cell r="F357" t="str">
            <v>LL-16-3451</v>
          </cell>
          <cell r="G357" t="str">
            <v>FlowArt: Trace-By-Line, Tied with a Bow [EVGR]</v>
          </cell>
        </row>
        <row r="358">
          <cell r="F358" t="str">
            <v>LL-16-3202</v>
          </cell>
          <cell r="G358" t="str">
            <v>FlowArt: Color-to-Reveal, Citrus Coastlines</v>
          </cell>
        </row>
        <row r="359">
          <cell r="F359" t="str">
            <v>LL-16-3203</v>
          </cell>
          <cell r="G359" t="str">
            <v>FlowArt: Color-to-Reveal, Fragrant Blooms</v>
          </cell>
        </row>
        <row r="360">
          <cell r="F360" t="str">
            <v>LL-16-3447</v>
          </cell>
          <cell r="G360" t="str">
            <v>FlowArt: Color-to-Reveal, Glitter #1</v>
          </cell>
        </row>
        <row r="361">
          <cell r="F361" t="str">
            <v>LL-16-3407</v>
          </cell>
          <cell r="G361" t="str">
            <v>FlowArt: Dot-By-Letter, Farmers Market Morning</v>
          </cell>
        </row>
        <row r="362">
          <cell r="F362" t="str">
            <v>LL-16-3224</v>
          </cell>
          <cell r="G362" t="str">
            <v>FlowArt: Dot-By-Letter, Everyday Inspiration</v>
          </cell>
        </row>
        <row r="363">
          <cell r="F363" t="str">
            <v>LL-16-3225</v>
          </cell>
          <cell r="G363" t="str">
            <v>FlowArt: Dot-By-Letter, Wags &amp; Whiskers</v>
          </cell>
        </row>
        <row r="364">
          <cell r="F364" t="str">
            <v>LL-16-3243</v>
          </cell>
          <cell r="G364" t="str">
            <v>FlowArt: Dot-By-Letter, Day at the Beach</v>
          </cell>
        </row>
        <row r="365">
          <cell r="F365" t="str">
            <v>LL-16-3299</v>
          </cell>
          <cell r="G365" t="str">
            <v>FlowArt: Dot-By-Letter, Moonlit Garden [Metallic ink]</v>
          </cell>
        </row>
        <row r="366">
          <cell r="F366" t="str">
            <v>LL-16-3300</v>
          </cell>
          <cell r="G366" t="str">
            <v>FlowArt: Dot-By-Letter, Majestic Earth [Metallic ink]</v>
          </cell>
        </row>
        <row r="367">
          <cell r="F367" t="str">
            <v>LL-16-3334</v>
          </cell>
          <cell r="G367" t="str">
            <v>FlowArt: Premium #1 - Mandalas</v>
          </cell>
        </row>
        <row r="368">
          <cell r="F368" t="str">
            <v>LL-16-3335</v>
          </cell>
          <cell r="G368" t="str">
            <v>FlowArt: Premium #2 - Museum Masterpieces</v>
          </cell>
        </row>
        <row r="369">
          <cell r="F369" t="str">
            <v>LL-16-3336</v>
          </cell>
          <cell r="G369" t="str">
            <v>FlowArt: Premium #3 - The Great Outdoors</v>
          </cell>
        </row>
        <row r="370">
          <cell r="F370" t="str">
            <v>LL-16-3337</v>
          </cell>
          <cell r="G370" t="str">
            <v>FlowArt: Premium #4 - Large Dot - Floral Splendor</v>
          </cell>
        </row>
        <row r="371">
          <cell r="F371" t="str">
            <v>LL-16-3388</v>
          </cell>
          <cell r="G371" t="str">
            <v>FlowArt: Premium #5 - Large Dot - Simple Pleasures</v>
          </cell>
        </row>
        <row r="372">
          <cell r="F372" t="str">
            <v>LL-16-3210</v>
          </cell>
          <cell r="G372" t="str">
            <v>FlowArt: Dot-by-Letter, Lovestruck</v>
          </cell>
        </row>
        <row r="373">
          <cell r="F373" t="str">
            <v>LL-16-3313</v>
          </cell>
          <cell r="G373" t="str">
            <v>FlowArt: Dot-by-Letter, Spooky Season</v>
          </cell>
        </row>
        <row r="374">
          <cell r="F374" t="str">
            <v>LL-16-3154</v>
          </cell>
          <cell r="G374" t="str">
            <v>FlowArt: Dot-By-Letter, Americana</v>
          </cell>
        </row>
        <row r="375">
          <cell r="F375" t="str">
            <v>LL-DB-3154</v>
          </cell>
          <cell r="G375" t="str">
            <v>FlowArt: Dot-By-Letter, Americana [DB Edition]</v>
          </cell>
        </row>
        <row r="376">
          <cell r="F376" t="str">
            <v>LL-16-3350</v>
          </cell>
          <cell r="G376" t="str">
            <v>FlowArt: Dot-By-Letter, DTC [Metallic] - #1</v>
          </cell>
        </row>
        <row r="377">
          <cell r="F377" t="str">
            <v>LL-16-3351</v>
          </cell>
          <cell r="G377" t="str">
            <v>FlowArt: Dot-By-Letter, DTC [Metallic] - #2</v>
          </cell>
        </row>
        <row r="378">
          <cell r="F378" t="str">
            <v>LL-16-3353</v>
          </cell>
          <cell r="G378" t="str">
            <v>FlowArt: Dot-By-Letter, DTC [Metallic] - #4</v>
          </cell>
        </row>
        <row r="379">
          <cell r="F379" t="str">
            <v>LL-16-3341</v>
          </cell>
          <cell r="G379" t="str">
            <v>FlowArt: Cozy Sweater - TGT</v>
          </cell>
        </row>
        <row r="380">
          <cell r="F380" t="str">
            <v>LL-16-3342</v>
          </cell>
          <cell r="G380" t="str">
            <v>FlowArt: Dot-By-Letter, Cozy Companions</v>
          </cell>
        </row>
        <row r="381">
          <cell r="F381" t="str">
            <v>LL-16-3343</v>
          </cell>
          <cell r="G381" t="str">
            <v>FlowArt: Dot-By-Letter, Corner Café</v>
          </cell>
        </row>
        <row r="382">
          <cell r="F382" t="str">
            <v>LL-16-3344</v>
          </cell>
          <cell r="G382" t="str">
            <v>FlowArt: Dot-By-Letter, Cabin Getaway</v>
          </cell>
        </row>
        <row r="383">
          <cell r="F383" t="str">
            <v>LL-16-3396</v>
          </cell>
          <cell r="G383" t="str">
            <v>FlowArt: Stitch-By-X, Homegrown Garden</v>
          </cell>
        </row>
        <row r="384">
          <cell r="F384" t="str">
            <v>LL-16-3397</v>
          </cell>
          <cell r="G384" t="str">
            <v>FlowArt: Stich-By-X, Cheeky Sayings</v>
          </cell>
        </row>
        <row r="385">
          <cell r="F385" t="str">
            <v>LL-16-3419</v>
          </cell>
          <cell r="G385" t="str">
            <v>FlowArt: Stitch-By-X, [Nature TBD]</v>
          </cell>
        </row>
        <row r="386">
          <cell r="F386" t="str">
            <v>LL-16-3398</v>
          </cell>
          <cell r="G386" t="str">
            <v>FlowArt: Stitch-By-Needlepoint: Home Sweet Home</v>
          </cell>
        </row>
        <row r="387">
          <cell r="F387" t="str">
            <v>LL-16-3422</v>
          </cell>
          <cell r="G387" t="str">
            <v>FlowArt: Stitch-By-Needlepoint: #2</v>
          </cell>
        </row>
        <row r="388">
          <cell r="F388" t="str">
            <v>LL-16-3423</v>
          </cell>
          <cell r="G388" t="str">
            <v>FlowArt: Stitch-To-Embroider: #1</v>
          </cell>
        </row>
        <row r="389">
          <cell r="F389" t="str">
            <v>LL-16-3424</v>
          </cell>
          <cell r="G389" t="str">
            <v>FlowArt: Stitch-To-Quilt: #1</v>
          </cell>
        </row>
        <row r="390">
          <cell r="F390" t="str">
            <v>LL-20-3311</v>
          </cell>
          <cell r="G390" t="str">
            <v>FlowArt: Mini, 6Pck #1</v>
          </cell>
        </row>
        <row r="391">
          <cell r="F391" t="str">
            <v>LL-20-3363</v>
          </cell>
          <cell r="G391" t="str">
            <v>FlowArt: Mini, 3Pck - Retail #1</v>
          </cell>
        </row>
        <row r="392">
          <cell r="F392" t="str">
            <v>LL-20-3364</v>
          </cell>
          <cell r="G392" t="str">
            <v>FlowArt: Mini, 3Pck - Retail #2</v>
          </cell>
        </row>
        <row r="393">
          <cell r="F393" t="str">
            <v>LL-20-3208</v>
          </cell>
          <cell r="G393" t="str">
            <v>FlowArt: Mini, 3Pck #1 [Magic + Pretty P + Nature W]</v>
          </cell>
        </row>
        <row r="394">
          <cell r="F394" t="str">
            <v>LL-20-3209</v>
          </cell>
          <cell r="G394" t="str">
            <v>FlowArt: Mini, 3Pck #2 [Pocket P + Café + Furry F]</v>
          </cell>
        </row>
        <row r="395">
          <cell r="F395" t="str">
            <v>LL-20-3229</v>
          </cell>
          <cell r="G395" t="str">
            <v>FlowArt: Mini Single - Enchanted Magic</v>
          </cell>
        </row>
        <row r="396">
          <cell r="F396" t="str">
            <v>LL-20-3230</v>
          </cell>
          <cell r="G396" t="str">
            <v>FlowArt: Mini Single - Pretty Petals</v>
          </cell>
        </row>
        <row r="397">
          <cell r="F397" t="str">
            <v>LL-20-3231</v>
          </cell>
          <cell r="G397" t="str">
            <v>FlowArt: Mini Single - Nature's Wonders</v>
          </cell>
        </row>
        <row r="398">
          <cell r="F398" t="str">
            <v>LL-20-3227</v>
          </cell>
          <cell r="G398" t="str">
            <v>FlowArt: Mini Single - Pocket Positivity</v>
          </cell>
        </row>
        <row r="399">
          <cell r="F399" t="str">
            <v>LL-20-3228</v>
          </cell>
          <cell r="G399" t="str">
            <v>FlowArt: Mini Single - Café Comforts</v>
          </cell>
        </row>
        <row r="400">
          <cell r="F400" t="str">
            <v>LL-20-3232</v>
          </cell>
          <cell r="G400" t="str">
            <v>FlowArt: Mini Single - Furry Friends</v>
          </cell>
        </row>
        <row r="401">
          <cell r="F401" t="str">
            <v>LL-20-3312</v>
          </cell>
          <cell r="G401" t="str">
            <v>FlowArt: Mini, 6Pck #2</v>
          </cell>
        </row>
        <row r="402">
          <cell r="F402" t="str">
            <v>LL-20-3301</v>
          </cell>
          <cell r="G402" t="str">
            <v>FlowArt: Mini, 3Pck #3 [Calm + Garden + Places]</v>
          </cell>
        </row>
        <row r="403">
          <cell r="F403" t="str">
            <v>LL-20-3302</v>
          </cell>
          <cell r="G403" t="str">
            <v>FlowArt: Mini, 3Pck #4 [Wild + Plant + Serenity]</v>
          </cell>
        </row>
        <row r="404">
          <cell r="F404" t="str">
            <v>LL-20-3293</v>
          </cell>
          <cell r="G404" t="str">
            <v>FlowArt: Mini Single - Costal Calm</v>
          </cell>
        </row>
        <row r="405">
          <cell r="F405" t="str">
            <v>LL-20-3295</v>
          </cell>
          <cell r="G405" t="str">
            <v>FlowArt: Mini Single - Cottage Garden</v>
          </cell>
        </row>
        <row r="406">
          <cell r="F406" t="str">
            <v>LL-20-3297</v>
          </cell>
          <cell r="G406" t="str">
            <v>FlowArt: Mini Single - Postcard Places</v>
          </cell>
        </row>
        <row r="407">
          <cell r="F407" t="str">
            <v>LL-20-3294</v>
          </cell>
          <cell r="G407" t="str">
            <v>FlowArt: Mini Single - Into the Wild</v>
          </cell>
        </row>
        <row r="408">
          <cell r="F408" t="str">
            <v>LL-20-3296</v>
          </cell>
          <cell r="G408" t="str">
            <v>FlowArt: Mini Single - Plant Paradise</v>
          </cell>
        </row>
        <row r="409">
          <cell r="F409" t="str">
            <v>LL-20-3298</v>
          </cell>
          <cell r="G409" t="str">
            <v>FlowArt: Mini Single - Small Town Serenity</v>
          </cell>
        </row>
        <row r="410">
          <cell r="F410" t="str">
            <v>LL-20-3303</v>
          </cell>
          <cell r="G410" t="str">
            <v>FlowArt: Mini, Holiday 3Pck #1</v>
          </cell>
        </row>
        <row r="411">
          <cell r="F411" t="str">
            <v>LL-20-3377</v>
          </cell>
          <cell r="G411" t="str">
            <v>FlowArt: Holiday Mini, 3Pck - Retail #1</v>
          </cell>
        </row>
        <row r="412">
          <cell r="F412" t="str">
            <v>LL-20-3250</v>
          </cell>
          <cell r="G412" t="str">
            <v>FlowArt: Mini Single - Deck the Halls [Metallic]</v>
          </cell>
        </row>
        <row r="413">
          <cell r="F413" t="str">
            <v>LL-20-3251</v>
          </cell>
          <cell r="G413" t="str">
            <v>FlowArt: Mini Single - Frosted Village [Metallic]</v>
          </cell>
        </row>
        <row r="414">
          <cell r="F414" t="str">
            <v>LL-20-3255</v>
          </cell>
          <cell r="G414" t="str">
            <v>FlowArt: Mini Single - Snowflake Serenity [Metallic]</v>
          </cell>
        </row>
        <row r="415">
          <cell r="F415" t="str">
            <v>LL-20-3408</v>
          </cell>
          <cell r="G415" t="str">
            <v>FlowArt: Mini Single - Berry Bliss</v>
          </cell>
        </row>
        <row r="416">
          <cell r="F416" t="str">
            <v>LL-20-3409</v>
          </cell>
          <cell r="G416" t="str">
            <v>FlowArt: Mini Single - Hummingbird Haven</v>
          </cell>
        </row>
        <row r="417">
          <cell r="F417" t="str">
            <v>LL-20-3410</v>
          </cell>
          <cell r="G417" t="str">
            <v>FlowArt: Mini Single - Wildflower Woods</v>
          </cell>
        </row>
        <row r="418">
          <cell r="F418" t="str">
            <v>LL-20-3412</v>
          </cell>
          <cell r="G418" t="str">
            <v>FlowArt: Mini Single - Coastal Calm</v>
          </cell>
        </row>
        <row r="419">
          <cell r="F419" t="str">
            <v>LL-20-3413</v>
          </cell>
          <cell r="G419" t="str">
            <v>FlowArt: Mini Single - Sweet Summer</v>
          </cell>
        </row>
        <row r="420">
          <cell r="F420" t="str">
            <v>LL-20-3414</v>
          </cell>
          <cell r="G420" t="str">
            <v>FlowArt: Mini Single - Under the Sea</v>
          </cell>
        </row>
        <row r="421">
          <cell r="F421" t="str">
            <v>LL-20-3415</v>
          </cell>
          <cell r="G421" t="str">
            <v>FlowArt: Mini Single - Slow Summers [WF Exclusive]</v>
          </cell>
        </row>
        <row r="422">
          <cell r="F422" t="str">
            <v>LL-20-3434</v>
          </cell>
          <cell r="G422" t="str">
            <v>FlowArt Mini Stitch-by-X: [Botanical Bouquet]</v>
          </cell>
        </row>
        <row r="423">
          <cell r="F423" t="str">
            <v>LL-20-3435</v>
          </cell>
          <cell r="G423" t="str">
            <v>FlowArt Mini Stitch-by-X: [Birds &amp; Branches]</v>
          </cell>
        </row>
        <row r="424">
          <cell r="F424" t="str">
            <v>LL-20-3436</v>
          </cell>
          <cell r="G424" t="str">
            <v>FlowArt Mini Stitch-by-X: [Spring Landscape]</v>
          </cell>
        </row>
        <row r="425">
          <cell r="F425" t="str">
            <v>LL-98-3444</v>
          </cell>
          <cell r="G425" t="str">
            <v>FlowArt Mini - Pocket Positivity - 3Pck</v>
          </cell>
        </row>
        <row r="426">
          <cell r="F426" t="str">
            <v>LL-98-3445</v>
          </cell>
          <cell r="G426" t="str">
            <v>FlowArt Mini - Café Comforts - 3Pck</v>
          </cell>
        </row>
        <row r="427">
          <cell r="F427" t="str">
            <v>LL-98-3446</v>
          </cell>
          <cell r="G427" t="str">
            <v>FlowArt Mini - Enchanted Magic - 3Pck</v>
          </cell>
        </row>
        <row r="428">
          <cell r="F428" t="str">
            <v>LL-30-3324</v>
          </cell>
          <cell r="G428" t="str">
            <v>FlowArt Mini EXPRESS, #1 Paws and Purs</v>
          </cell>
        </row>
        <row r="429">
          <cell r="F429" t="str">
            <v>LL-30-3325</v>
          </cell>
          <cell r="G429" t="str">
            <v>FlowArt Mini EXPRESS, #2 In Full Bloom</v>
          </cell>
        </row>
        <row r="430">
          <cell r="F430" t="str">
            <v>LL-30-3326</v>
          </cell>
          <cell r="G430" t="str">
            <v>FlowArt Mini EXPRESS, #3 Nature Walk</v>
          </cell>
        </row>
        <row r="431">
          <cell r="F431" t="str">
            <v>LL-30-3327</v>
          </cell>
          <cell r="G431" t="str">
            <v>FlowArt Mini EXPRESS, #4 Cozy comforts</v>
          </cell>
        </row>
        <row r="432">
          <cell r="F432" t="str">
            <v>LL-30-3328</v>
          </cell>
          <cell r="G432" t="str">
            <v>FlowArt Mini EXPRESS, #5 Snow day</v>
          </cell>
        </row>
        <row r="433">
          <cell r="F433" t="str">
            <v>LL-30-3333</v>
          </cell>
          <cell r="G433" t="str">
            <v>FlowArt Mini EXPRESS, #6 Merry Moments</v>
          </cell>
        </row>
        <row r="434">
          <cell r="F434" t="str">
            <v>LL-30-3354</v>
          </cell>
          <cell r="G434" t="str">
            <v>FlowArt Mini EXPRESS, #7 Wings &amp; Wonder</v>
          </cell>
        </row>
        <row r="435">
          <cell r="F435" t="str">
            <v>LL-30-3355</v>
          </cell>
          <cell r="G435" t="str">
            <v>FlowArt Mini EXPRESS, #8 On the Farm</v>
          </cell>
        </row>
        <row r="436">
          <cell r="F436" t="str">
            <v>LL-30-3356</v>
          </cell>
          <cell r="G436" t="str">
            <v>FlowArt Mini EXPRESS, #9 Hometown Charm</v>
          </cell>
        </row>
        <row r="437">
          <cell r="F437" t="str">
            <v>LL-30-3357</v>
          </cell>
          <cell r="G437" t="str">
            <v>FlowArt Mini EXPRESS, #10</v>
          </cell>
        </row>
        <row r="438">
          <cell r="F438" t="str">
            <v>LL-30-3358</v>
          </cell>
          <cell r="G438" t="str">
            <v>FlowArt Mini EXPRESS, #11</v>
          </cell>
        </row>
        <row r="439">
          <cell r="F439" t="str">
            <v>LL-30-3359</v>
          </cell>
          <cell r="G439" t="str">
            <v>FlowArt Mini EXPRESS, #12</v>
          </cell>
        </row>
        <row r="440">
          <cell r="F440" t="str">
            <v>LL-30-3360</v>
          </cell>
          <cell r="G440" t="str">
            <v>FlowArt Mini EXPRESS, #13</v>
          </cell>
        </row>
        <row r="441">
          <cell r="F441" t="str">
            <v>LL-30-3361</v>
          </cell>
          <cell r="G441" t="str">
            <v>FlowArt Mini EXPRESS, #14</v>
          </cell>
        </row>
        <row r="442">
          <cell r="F442" t="str">
            <v>LL-30-3362</v>
          </cell>
          <cell r="G442" t="str">
            <v>FlowArt Mini EXPRESS, #15</v>
          </cell>
        </row>
        <row r="443">
          <cell r="F443" t="str">
            <v>LL-30-3405</v>
          </cell>
          <cell r="G443" t="str">
            <v>FlowArt Mini EXPRESS, Sweet Escapes</v>
          </cell>
        </row>
        <row r="444">
          <cell r="F444" t="str">
            <v>LL-30-3406</v>
          </cell>
          <cell r="G444" t="str">
            <v>FlowArt Mini EXPRESS, Pretty Petals</v>
          </cell>
        </row>
        <row r="445">
          <cell r="F445" t="str">
            <v>LL-30-3425</v>
          </cell>
          <cell r="G445" t="str">
            <v>FlowArt Mini EXPRESS, Tween Collection - Dream Spaces</v>
          </cell>
        </row>
        <row r="446">
          <cell r="F446" t="str">
            <v>LL-30-3426</v>
          </cell>
          <cell r="G446" t="str">
            <v>FlowArt Mini EXPRESS, Tween Collection - Vacay Mode</v>
          </cell>
        </row>
        <row r="447">
          <cell r="F447" t="str">
            <v>LL-30-3427</v>
          </cell>
          <cell r="G447" t="str">
            <v>FlowArt Mini EXPRESS, Tween Collection - The Style Edit</v>
          </cell>
        </row>
        <row r="448">
          <cell r="F448" t="str">
            <v>LL-30-3428</v>
          </cell>
          <cell r="G448" t="str">
            <v>FlowArt Mini EXPRESS, Tween Collection - Berry Cute</v>
          </cell>
        </row>
        <row r="449">
          <cell r="F449" t="str">
            <v>LL-30-3456</v>
          </cell>
          <cell r="G449" t="str">
            <v>FlowArt Mini EXPRESS, Stitch-by-X [Botanicals]</v>
          </cell>
        </row>
        <row r="450">
          <cell r="F450" t="str">
            <v>LL-30-3457</v>
          </cell>
          <cell r="G450" t="str">
            <v>FlowArt Mini EXPRESS, Stitch-by-X [Cottage Core]</v>
          </cell>
        </row>
        <row r="451">
          <cell r="F451" t="str">
            <v>LL-30-3458</v>
          </cell>
          <cell r="G451" t="str">
            <v>FlowArt Mini EXPRESS, Stitch-by-X [Cozy Living]</v>
          </cell>
        </row>
        <row r="452">
          <cell r="F452" t="str">
            <v>LL-30-3459</v>
          </cell>
          <cell r="G452" t="str">
            <v>FlowArt Mini EXPRESS, Stitch-by-X [Animals]</v>
          </cell>
        </row>
        <row r="453">
          <cell r="F453" t="str">
            <v>LL-30-3460</v>
          </cell>
          <cell r="G453" t="str">
            <v>FlowArt Mini EXPRESS, Spring Rain</v>
          </cell>
        </row>
        <row r="454">
          <cell r="F454" t="str">
            <v>LL-30-3461</v>
          </cell>
          <cell r="G454" t="str">
            <v>FlowArt Mini EXPRESS, Blossom Market</v>
          </cell>
        </row>
        <row r="455">
          <cell r="F455" t="str">
            <v>LL-30-3462</v>
          </cell>
          <cell r="G455" t="str">
            <v>FlowArt Mini EXPRESS, Baby Animals</v>
          </cell>
        </row>
        <row r="456">
          <cell r="F456">
            <v>167001</v>
          </cell>
          <cell r="G456" t="str">
            <v>FlowCrafts: Paper Flower Bouquet</v>
          </cell>
        </row>
        <row r="457">
          <cell r="F457">
            <v>167002</v>
          </cell>
          <cell r="G457" t="str">
            <v>FlowCrafts: Collage Art</v>
          </cell>
        </row>
        <row r="458">
          <cell r="F458">
            <v>167004</v>
          </cell>
          <cell r="G458" t="str">
            <v>FlowCrafts: Layered Wooden Wall Art</v>
          </cell>
        </row>
        <row r="459">
          <cell r="F459">
            <v>167005</v>
          </cell>
          <cell r="G459" t="str">
            <v>FlowCrafts: Cord-Wrapped Planters</v>
          </cell>
        </row>
        <row r="460">
          <cell r="F460">
            <v>167006</v>
          </cell>
          <cell r="G460" t="str">
            <v>FlowCrafts: Decorative Tile Lamp</v>
          </cell>
        </row>
        <row r="461">
          <cell r="F461" t="str">
            <v>LL-98-3188</v>
          </cell>
          <cell r="G461" t="str">
            <v>FlowArt 2PK - I&amp;C (165009+165006) - with BPAD</v>
          </cell>
        </row>
        <row r="462">
          <cell r="F462" t="str">
            <v>LL-98-3189</v>
          </cell>
          <cell r="G462" t="str">
            <v>FlowArt 2PK - Dot Art (165005+165008) - with BPAD</v>
          </cell>
        </row>
        <row r="463">
          <cell r="F463" t="str">
            <v>LL-98-3190</v>
          </cell>
          <cell r="G463" t="str">
            <v>FlowArt 2PK - Pop &amp; Pogo (165001+165007) - with BPAD</v>
          </cell>
        </row>
        <row r="464">
          <cell r="F464" t="str">
            <v>LL-98-3191</v>
          </cell>
          <cell r="G464" t="str">
            <v>FlowArt 2PK - SbS &amp; Pattern (165014+165012) - with BPAD</v>
          </cell>
        </row>
        <row r="465">
          <cell r="F465" t="str">
            <v>LL-98-3025</v>
          </cell>
          <cell r="G465" t="str">
            <v>FlowArt 2PK - UV (165009+165006)</v>
          </cell>
        </row>
        <row r="466">
          <cell r="F466" t="str">
            <v>LL-98-3026</v>
          </cell>
          <cell r="G466" t="str">
            <v>FlowArt 2PK - Dot Art (165005+165008)</v>
          </cell>
        </row>
        <row r="467">
          <cell r="F467" t="str">
            <v>LL-98-3027</v>
          </cell>
          <cell r="G467" t="str">
            <v>FlowArt 2PK - Pop &amp; Pogo (165001+165007)</v>
          </cell>
        </row>
        <row r="468">
          <cell r="F468" t="str">
            <v>LL-98-3028</v>
          </cell>
          <cell r="G468" t="str">
            <v>FlowArt 2PK - SBS &amp; HP (165014+165012)</v>
          </cell>
        </row>
        <row r="469">
          <cell r="F469" t="str">
            <v>LL-98-3091</v>
          </cell>
          <cell r="G469" t="str">
            <v>FlowArt 2PK - Dot Art 2 (165001+165005)</v>
          </cell>
        </row>
        <row r="470">
          <cell r="F470" t="str">
            <v>LL-98-3168</v>
          </cell>
          <cell r="G470" t="str">
            <v>FlowArt 2PK - Dot-by-Letter [3157 + 3158] - Fall</v>
          </cell>
        </row>
        <row r="471">
          <cell r="F471" t="str">
            <v>LL-98-3169</v>
          </cell>
          <cell r="G471" t="str">
            <v>FlowArt 2PK - Pogo &amp; UV [3159 + 3160] - Fall</v>
          </cell>
        </row>
        <row r="472">
          <cell r="F472" t="str">
            <v>LL-98-3170</v>
          </cell>
          <cell r="G472" t="str">
            <v>FlowArt 2PK - DbL &amp; UV [3162 + 3163] - Winter</v>
          </cell>
        </row>
        <row r="473">
          <cell r="F473" t="str">
            <v>LL-98-3307</v>
          </cell>
          <cell r="G473" t="str">
            <v>FlowArt 3Pck - Fall DbL [3248 + 3158 + 3157]</v>
          </cell>
        </row>
        <row r="474">
          <cell r="F474" t="str">
            <v>LL-98-3321</v>
          </cell>
          <cell r="G474" t="str">
            <v>FlowArt 3Pck - Fall Mixed Mode [3248 + 3290 + 3247]</v>
          </cell>
        </row>
        <row r="475">
          <cell r="F475" t="str">
            <v>LL-98-3308</v>
          </cell>
          <cell r="G475" t="str">
            <v>FlowArt 3Pck - Winter DbL [3244 + 3245 + 3162]</v>
          </cell>
        </row>
        <row r="476">
          <cell r="F476" t="str">
            <v>LL-98-3309</v>
          </cell>
          <cell r="G476" t="str">
            <v>FlowArt 3Pck - Winter Mixed [3368 + 3367 + 3246]</v>
          </cell>
        </row>
        <row r="477">
          <cell r="F477" t="str">
            <v>LL-98-3386</v>
          </cell>
          <cell r="G477" t="str">
            <v>FlowArt 2PK - Cozy &amp; Inspo [ 3149 + 3224 ]</v>
          </cell>
        </row>
        <row r="478">
          <cell r="F478" t="str">
            <v>LL-98-3029</v>
          </cell>
          <cell r="G478" t="str">
            <v>FlowArt 2PK - DbL &amp; SbS [ 3149 + 3150 ]</v>
          </cell>
        </row>
        <row r="479">
          <cell r="F479" t="str">
            <v>LL-98-3030</v>
          </cell>
          <cell r="G479" t="str">
            <v>FlowArt 2PK - DbL - Metallic ink [ 3148 + 3153 ]</v>
          </cell>
        </row>
        <row r="480">
          <cell r="F480" t="str">
            <v>LL-98-3031</v>
          </cell>
          <cell r="G480" t="str">
            <v>FlowArt 2PK - HP &amp; PD [ 3151 + 3152 ]</v>
          </cell>
        </row>
        <row r="481">
          <cell r="F481" t="str">
            <v>LL-98-3217</v>
          </cell>
          <cell r="G481" t="str">
            <v>FlowArt 2Pck: In the Groove [3200 + 3201]</v>
          </cell>
        </row>
        <row r="482">
          <cell r="F482" t="str">
            <v>LL-98-3218</v>
          </cell>
          <cell r="G482" t="str">
            <v>FlowArt 2Pck: TbLine [3222 + 3223]</v>
          </cell>
        </row>
        <row r="483">
          <cell r="F483" t="str">
            <v>LL-98-3219</v>
          </cell>
          <cell r="G483" t="str">
            <v>FlowArt 2Pck: Doodle Trace [3204 + 3205]</v>
          </cell>
        </row>
        <row r="484">
          <cell r="F484" t="str">
            <v>LL-98-3220</v>
          </cell>
          <cell r="G484" t="str">
            <v>FlowArt 2Pck:TbLetter + Within [3206 + 3207]</v>
          </cell>
        </row>
        <row r="485">
          <cell r="F485" t="str">
            <v>LL-98-3314</v>
          </cell>
          <cell r="G485" t="str">
            <v>FlowArt 3Pck: DbL Classic [5005 + 5008 +3149]</v>
          </cell>
        </row>
        <row r="486">
          <cell r="F486" t="str">
            <v>LL-98-3315</v>
          </cell>
          <cell r="G486" t="str">
            <v>FlowArt 3Pck: Deep + Sgarden + Jungle [3153 + 3150 +3200]</v>
          </cell>
        </row>
        <row r="487">
          <cell r="F487" t="str">
            <v>LL-98-3316</v>
          </cell>
          <cell r="G487" t="str">
            <v>FlowArt 3Pck: Galaxy + TPara + Animals [3148 + 3222 + 5012]</v>
          </cell>
        </row>
        <row r="488">
          <cell r="F488" t="str">
            <v>LL-98-3317</v>
          </cell>
          <cell r="G488" t="str">
            <v>FlowArt 3Pck: TbLine Classic [3222 + 3223 + 3249]</v>
          </cell>
        </row>
        <row r="489">
          <cell r="F489" t="str">
            <v>LL-98-3318</v>
          </cell>
          <cell r="G489" t="str">
            <v>FlowArt 3Pck: PackBags + Wild + Foodie [3206 + 3204 + 3151]</v>
          </cell>
        </row>
        <row r="490">
          <cell r="F490" t="str">
            <v>LL-98-3319</v>
          </cell>
          <cell r="G490" t="str">
            <v>FlowArt 3Pck: Moonlit + Style + Cozy Cottage [3299 + 3205 + 3149]</v>
          </cell>
        </row>
        <row r="491">
          <cell r="F491" t="str">
            <v>LL-98-3320</v>
          </cell>
          <cell r="G491" t="str">
            <v>FlowArt 3Pck: MLand + Desert + Pause [3300 + 3201 +3207]</v>
          </cell>
        </row>
        <row r="492">
          <cell r="F492" t="str">
            <v>LL-98-3258</v>
          </cell>
          <cell r="G492" t="str">
            <v>FlowArt 3Pck: Blooms + Coastline + Foodie [3202 + 3203 +3151]</v>
          </cell>
        </row>
        <row r="493">
          <cell r="F493" t="str">
            <v>LL-98-3289</v>
          </cell>
          <cell r="G493" t="str">
            <v>FlowArt 3Pck: Beach + Americana + Deep [3243 + 3154 + 3153] - TEMP</v>
          </cell>
        </row>
        <row r="494">
          <cell r="F494" t="str">
            <v>LL-98-3259</v>
          </cell>
          <cell r="G494" t="str">
            <v>FlowArt 3Pck: Beach + Americana + W&amp;W  [3243 + 3154 + 3225 ]</v>
          </cell>
        </row>
        <row r="495">
          <cell r="F495" t="str">
            <v>LL-98-3257</v>
          </cell>
          <cell r="G495" t="str">
            <v>FlowArt 3Pck: Brunch + Inspo + Frag Blooms [3249 + 3224 + 3203]</v>
          </cell>
        </row>
        <row r="496">
          <cell r="F496" t="str">
            <v>LL-98-3310</v>
          </cell>
          <cell r="G496" t="str">
            <v>FlowArt 3Pck: Metallic [3299 + 3300]</v>
          </cell>
        </row>
        <row r="497">
          <cell r="F497" t="str">
            <v>LL-98-3399</v>
          </cell>
          <cell r="G497" t="str">
            <v>FlowArt 3Pck:  Secret Garden + Jungle Oasis + Into the Deep [Metallic ink] - TEMP</v>
          </cell>
        </row>
        <row r="498">
          <cell r="F498" t="str">
            <v>LL-98-3400</v>
          </cell>
          <cell r="G498" t="str">
            <v>FlowArt 3Pck:  Tropical Paradise + Americana + Day at the Beach - TEMP</v>
          </cell>
        </row>
        <row r="499">
          <cell r="F499" t="str">
            <v>LL-98-3401</v>
          </cell>
          <cell r="G499" t="str">
            <v>FlowArt 3Pck:  Foodie Fun + Into the Galaxy (Metallic ink] + Tropical Paradise - TEMP</v>
          </cell>
        </row>
        <row r="500">
          <cell r="F500" t="str">
            <v>LL-98-3402</v>
          </cell>
          <cell r="G500" t="str">
            <v>FlowArt 3Pck:  Cozy Cottage + Landscapes + Botanicals - TEMP</v>
          </cell>
        </row>
        <row r="501">
          <cell r="F501" t="str">
            <v>LL-98-3403</v>
          </cell>
          <cell r="G501" t="str">
            <v>FlowArt 3Pck:  Everyday Inspiration + Style Your Space + Lovestruck - TEMP</v>
          </cell>
        </row>
        <row r="502">
          <cell r="F502" t="str">
            <v>LL-98-3404</v>
          </cell>
          <cell r="G502" t="str">
            <v>FlowArt 3Pck:  Americana + Pack Your Bags + Desert Dreams - TEMP</v>
          </cell>
        </row>
        <row r="503">
          <cell r="F503" t="str">
            <v>LL-98-3032</v>
          </cell>
          <cell r="G503" t="str">
            <v>FlowArt 4PK - Mix A (165009+165008+165001+165014)</v>
          </cell>
        </row>
        <row r="504">
          <cell r="F504" t="str">
            <v>LL-98-3033</v>
          </cell>
          <cell r="G504" t="str">
            <v>FlowArt 4PK - Mix B (165006+165005+165007+165012)</v>
          </cell>
        </row>
        <row r="505">
          <cell r="F505" t="str">
            <v>LL-98-3092</v>
          </cell>
          <cell r="G505" t="str">
            <v>FlowArt 4PK - Mix C (165001+165014+165012+165008)</v>
          </cell>
        </row>
        <row r="506">
          <cell r="F506" t="str">
            <v>LL-25-3416</v>
          </cell>
          <cell r="G506" t="str">
            <v>Scented Squishy Plush - Nightime</v>
          </cell>
        </row>
        <row r="507">
          <cell r="F507" t="str">
            <v>LL-25-3421</v>
          </cell>
          <cell r="G507" t="str">
            <v>Scented Squishy Plush - Woodland</v>
          </cell>
        </row>
        <row r="508">
          <cell r="F508" t="str">
            <v>LL-25-3417</v>
          </cell>
          <cell r="G508" t="str">
            <v>Scented Squishy Non-Plush - #2</v>
          </cell>
        </row>
        <row r="509">
          <cell r="F509" t="str">
            <v>LL-11-1620</v>
          </cell>
          <cell r="G509" t="str">
            <v>Visual Plug In Diffuser - SKU 1</v>
          </cell>
        </row>
        <row r="510">
          <cell r="F510" t="str">
            <v>LL-26-3005</v>
          </cell>
          <cell r="G510" t="str">
            <v>Visual Plug In Diffuser - SKU 2</v>
          </cell>
        </row>
        <row r="511">
          <cell r="F511">
            <v>989514</v>
          </cell>
          <cell r="G511" t="str">
            <v>Pencil 10pk + In Bloom Pen Diffuser Bundle</v>
          </cell>
        </row>
        <row r="512">
          <cell r="F512">
            <v>989525</v>
          </cell>
          <cell r="G512" t="str">
            <v>Lifelines Ocean Journal &amp; In Bloom Pen Diffuser</v>
          </cell>
        </row>
        <row r="513">
          <cell r="F513" t="str">
            <v>11-2514-CP12</v>
          </cell>
          <cell r="G513" t="str">
            <v>Pen Diffuser with Essential Oil Blends - Herbal Garden</v>
          </cell>
        </row>
        <row r="514">
          <cell r="F514" t="str">
            <v>11-2521-CP12</v>
          </cell>
          <cell r="G514" t="str">
            <v xml:space="preserve">Scented Lava Pen Set - 2-pack (Blue / Red) </v>
          </cell>
        </row>
        <row r="515">
          <cell r="F515" t="str">
            <v>11-2506-CP12</v>
          </cell>
          <cell r="G515" t="str">
            <v>Rub &amp; Sniff™ Scented Colored Pencils - 20-pack (Classic)</v>
          </cell>
        </row>
        <row r="516">
          <cell r="F516" t="str">
            <v>LL-99-3076</v>
          </cell>
          <cell r="G516" t="str">
            <v>Target Writing Sidecap Shipper (Spring 2025)</v>
          </cell>
        </row>
        <row r="517">
          <cell r="F517" t="str">
            <v>LL-99-3077</v>
          </cell>
          <cell r="G517" t="str">
            <v>Meijer Fast Track Display (Spring 2025)</v>
          </cell>
        </row>
        <row r="518">
          <cell r="F518" t="str">
            <v>LL-99-3089</v>
          </cell>
          <cell r="G518" t="str">
            <v>20 Pack Pencil Tray PDQ (Empty tray in box)</v>
          </cell>
        </row>
        <row r="519">
          <cell r="F519" t="str">
            <v>LL-99-3090</v>
          </cell>
          <cell r="G519" t="str">
            <v>Universal Pen/Pencil PGQ (Empty tray in box)</v>
          </cell>
        </row>
        <row r="520">
          <cell r="F520" t="str">
            <v>LL-14-3088</v>
          </cell>
          <cell r="G520" t="str">
            <v>DIFFUSER, LED, Marble (HERBAL OIL)</v>
          </cell>
        </row>
        <row r="521">
          <cell r="F521" t="str">
            <v>LL-12-3161</v>
          </cell>
          <cell r="G521" t="str">
            <v>Writing Bundle [2x Lava Pen / Maze /  Highlighter] - Blue</v>
          </cell>
        </row>
        <row r="522">
          <cell r="F522" t="str">
            <v>LL-12-3172</v>
          </cell>
          <cell r="G522" t="str">
            <v>Writing Bundle [2x Lava Pen / Maze /  Highlighter] - Dusty Pink</v>
          </cell>
        </row>
        <row r="523">
          <cell r="F523" t="str">
            <v>LL-12-3196</v>
          </cell>
          <cell r="G523" t="str">
            <v>Writing Bundle [2x Lava Pen / Papaya /  Highlighter]</v>
          </cell>
        </row>
        <row r="524">
          <cell r="F524" t="str">
            <v>LL-12-3197</v>
          </cell>
          <cell r="G524" t="str">
            <v>Writing Bundle [2x Lava Pen / Gumball /  Highlighter]</v>
          </cell>
        </row>
        <row r="525">
          <cell r="F525" t="str">
            <v>LL-12-3215</v>
          </cell>
          <cell r="G525" t="str">
            <v>Writing Bundle [2x Lava Pen / Patch /  Highlighter] - Cozy Thoughts</v>
          </cell>
        </row>
        <row r="526">
          <cell r="F526" t="str">
            <v>LL-12-3216</v>
          </cell>
          <cell r="G526" t="str">
            <v>Writing Bundle [2x Lava Pen / Patch /  Highlighter] - Express Yourself</v>
          </cell>
        </row>
        <row r="527">
          <cell r="F527" t="str">
            <v>LL-12-3330</v>
          </cell>
          <cell r="G527" t="str">
            <v>Writing Bundle [2x Lava Pen / Patch ] - #1</v>
          </cell>
        </row>
        <row r="528">
          <cell r="F528" t="str">
            <v>LL-12-3331</v>
          </cell>
          <cell r="G528" t="str">
            <v>Writing Bundle [2x Lava Pen / Patch ] - #2</v>
          </cell>
        </row>
        <row r="529">
          <cell r="F529" t="str">
            <v>LL-12-3332</v>
          </cell>
          <cell r="G529" t="str">
            <v>Writing Bundle [2x Lava Pen / Patch ] - #3</v>
          </cell>
        </row>
        <row r="530">
          <cell r="F530" t="str">
            <v>LL-98-3221</v>
          </cell>
          <cell r="G530" t="str">
            <v>Bead Journal Bundle - Papaya &amp; Gumball - AMZ</v>
          </cell>
        </row>
        <row r="531">
          <cell r="F531" t="str">
            <v>LL-20-3329</v>
          </cell>
          <cell r="G531" t="str">
            <v>Lifelines Digital Detox Kit - 2026</v>
          </cell>
        </row>
        <row r="532">
          <cell r="F532" t="str">
            <v>LL-12-3212</v>
          </cell>
          <cell r="G532" t="str">
            <v>Scented Sticky Notes</v>
          </cell>
        </row>
        <row r="533">
          <cell r="F533" t="str">
            <v>LL-98-3167</v>
          </cell>
          <cell r="G533" t="str">
            <v>Tracing Art Pads (2) with Colored Pencils (14)</v>
          </cell>
        </row>
        <row r="534">
          <cell r="F534" t="str">
            <v>LL-99-3111</v>
          </cell>
          <cell r="G534" t="str">
            <v>Meijer Highlighter Display Tray (Filled)</v>
          </cell>
        </row>
        <row r="535">
          <cell r="F535" t="str">
            <v>LL-99-3112</v>
          </cell>
          <cell r="G535" t="str">
            <v>Meijer Lava Pen Display Tray (Filled)</v>
          </cell>
        </row>
        <row r="536">
          <cell r="F536" t="str">
            <v>LL-99-3113</v>
          </cell>
          <cell r="G536" t="str">
            <v>Meijer 10PK Colored Pencil Display Tray (Filled)</v>
          </cell>
        </row>
        <row r="537">
          <cell r="F537" t="str">
            <v>LL-99-3114</v>
          </cell>
          <cell r="G537" t="str">
            <v>Meijer 20PK Colored Pencil Display Tray (Filled)</v>
          </cell>
        </row>
        <row r="538">
          <cell r="F538" t="str">
            <v>LL-98-3119</v>
          </cell>
          <cell r="G538" t="str">
            <v xml:space="preserve">2025 Writing Sidecap Shipper (Filled) </v>
          </cell>
        </row>
        <row r="539">
          <cell r="F539" t="str">
            <v>LL-12-3132</v>
          </cell>
          <cell r="G539" t="str">
            <v>Scented Lava Pen Set - 2-pack (Pink / Purple)  - WALMART PKG</v>
          </cell>
        </row>
        <row r="540">
          <cell r="F540" t="str">
            <v>LL-12-3132-V2</v>
          </cell>
          <cell r="G540" t="str">
            <v>Scented Lava Pen Set - 2-pack (Pink / Purple)  - WALMART PKG</v>
          </cell>
        </row>
        <row r="541">
          <cell r="F541" t="str">
            <v>LL-12-3133</v>
          </cell>
          <cell r="G541" t="str">
            <v>Scented Lava Pen Set - 2-pack (Blue / Green)  - WALMART PKG</v>
          </cell>
        </row>
        <row r="542">
          <cell r="F542" t="str">
            <v>LL-12-3136</v>
          </cell>
          <cell r="G542" t="str">
            <v>Pen Diffuser with Essential Oil Blends -  Spiced Chai Latte - WALMART PKG</v>
          </cell>
        </row>
        <row r="543">
          <cell r="F543" t="str">
            <v>LL-12-3137</v>
          </cell>
          <cell r="G543" t="str">
            <v>Pen Diffuser with Essential Oil Blends - In Bloom - WALMART PKG</v>
          </cell>
        </row>
        <row r="544">
          <cell r="F544" t="str">
            <v>LL-12-3138</v>
          </cell>
          <cell r="G544" t="str">
            <v>Rub &amp; Sniff™ Scented Colored Pencils - 10-pack (Classic Palette) - WALMART PKG</v>
          </cell>
        </row>
        <row r="545">
          <cell r="F545" t="str">
            <v>LL-12-3139</v>
          </cell>
          <cell r="G545" t="str">
            <v>Writing Bundle [2x Lava Pen / Journal / Highlighter] - WALMART PKG</v>
          </cell>
        </row>
        <row r="546">
          <cell r="F546" t="str">
            <v>LL-16-3193</v>
          </cell>
          <cell r="G546" t="str">
            <v>FlowArt: Pogo-Dot, Nature - WALMART PKG</v>
          </cell>
        </row>
        <row r="547">
          <cell r="F547" t="str">
            <v>LL-16-3140</v>
          </cell>
          <cell r="G547" t="str">
            <v>FlowArt: Dot-By-Letter, Landscapes - WALMART PKG</v>
          </cell>
        </row>
        <row r="548">
          <cell r="F548" t="str">
            <v>LL-16-3141</v>
          </cell>
          <cell r="G548" t="str">
            <v>FlowArt: Dot-By-Letter, Botanicals - WALMART PKG</v>
          </cell>
        </row>
        <row r="549">
          <cell r="F549" t="str">
            <v>LL-14-3144</v>
          </cell>
          <cell r="G549" t="str">
            <v>Blush Pink Ribbed Candle - XX - WALMART PKG</v>
          </cell>
        </row>
        <row r="550">
          <cell r="F550" t="str">
            <v>LL-14-3146</v>
          </cell>
          <cell r="G550" t="str">
            <v>Plant Diffuser -  Grass Plant - Bubble White  - WALMART PKG</v>
          </cell>
        </row>
        <row r="551">
          <cell r="F551" t="str">
            <v>LL-16-3261</v>
          </cell>
          <cell r="G551" t="str">
            <v>FlowArt Home for the Holidays Scented CtR - WMT</v>
          </cell>
        </row>
        <row r="552">
          <cell r="F552" t="str">
            <v>LL-16-3281</v>
          </cell>
          <cell r="G552" t="str">
            <v>FlowArt Dot-By-Letter Winterglow - WMT [Metallic]</v>
          </cell>
        </row>
        <row r="553">
          <cell r="F553" t="str">
            <v>LL-16-3263</v>
          </cell>
          <cell r="G553" t="str">
            <v>FlowArt: Trace-by-Line: Gingerbread Delight - WMT</v>
          </cell>
        </row>
        <row r="554">
          <cell r="F554" t="str">
            <v>LL-16-3383</v>
          </cell>
          <cell r="G554" t="str">
            <v>FlowArt Dot-By-Letter: The North Pole - WMT</v>
          </cell>
        </row>
        <row r="555">
          <cell r="F555" t="str">
            <v>LL-16-3266</v>
          </cell>
          <cell r="G555" t="str">
            <v>FlowArt Dot-By-Letter: Wags &amp; Whiskers - WMT</v>
          </cell>
        </row>
        <row r="556">
          <cell r="F556" t="str">
            <v>LL-99-3370</v>
          </cell>
          <cell r="G556" t="str">
            <v>FlowArt Minis: PDQ - WMT</v>
          </cell>
        </row>
        <row r="557">
          <cell r="F557" t="str">
            <v>LL-30-3380</v>
          </cell>
          <cell r="G557" t="str">
            <v>FlowArt Minis EXPRESS: Nature Walk - WMT</v>
          </cell>
        </row>
        <row r="558">
          <cell r="F558" t="str">
            <v>LL-30-3381</v>
          </cell>
          <cell r="G558" t="str">
            <v>FlowArt Minis EXPRESS: Paws and Purrs - WMT</v>
          </cell>
        </row>
        <row r="559">
          <cell r="F559" t="str">
            <v>LL-30-3382</v>
          </cell>
          <cell r="G559" t="str">
            <v>FlowArt Minis EXPRESS: In Full Bloom - WMT</v>
          </cell>
        </row>
        <row r="560">
          <cell r="F560" t="str">
            <v>LL-12-3271</v>
          </cell>
          <cell r="G560" t="str">
            <v>Scented Glitter Pen 3-Pack - WMT</v>
          </cell>
        </row>
        <row r="561">
          <cell r="F561" t="str">
            <v>LL-12-3272</v>
          </cell>
          <cell r="G561" t="str">
            <v>Scented Lava Pen 3-Pack - WMT</v>
          </cell>
        </row>
        <row r="562">
          <cell r="F562" t="str">
            <v>LL-12-3273</v>
          </cell>
          <cell r="G562" t="str">
            <v>Scented Pen Discovery Set 3-Pack - WMT</v>
          </cell>
        </row>
        <row r="563">
          <cell r="F563" t="str">
            <v>LL-12-3274</v>
          </cell>
          <cell r="G563" t="str">
            <v>Scented Marker 10-Pack - WMT</v>
          </cell>
        </row>
        <row r="564">
          <cell r="F564" t="str">
            <v>LL-25-3275</v>
          </cell>
          <cell r="G564" t="str">
            <v>Scented Squishy 1 - Zen Garden - WMT</v>
          </cell>
        </row>
        <row r="565">
          <cell r="F565" t="str">
            <v>LL-25-3276</v>
          </cell>
          <cell r="G565" t="str">
            <v>Scented Squishy 2 - Spa Serenity - WMT</v>
          </cell>
        </row>
        <row r="566">
          <cell r="F566" t="str">
            <v>LL-25-3277</v>
          </cell>
          <cell r="G566" t="str">
            <v>Scented Squishy 3 - Mini Succulents - WMT</v>
          </cell>
        </row>
        <row r="567">
          <cell r="F567" t="str">
            <v>LL-25-3283</v>
          </cell>
          <cell r="G567" t="str">
            <v>Scented Squishy 4 - Zen Meditation - WMT</v>
          </cell>
        </row>
        <row r="568">
          <cell r="F568" t="str">
            <v>LL-25-3284</v>
          </cell>
          <cell r="G568" t="str">
            <v>Scented Squishy 5 - Forest Friends - WMT</v>
          </cell>
        </row>
        <row r="569">
          <cell r="F569" t="str">
            <v>LL-25-3285</v>
          </cell>
          <cell r="G569" t="str">
            <v>Scented Squishy 6 - Animal Friends - WMT</v>
          </cell>
        </row>
        <row r="570">
          <cell r="F570" t="str">
            <v>LL-25-3286</v>
          </cell>
          <cell r="G570" t="str">
            <v>Scented Squishy 7 - Writers Desk -  WMT</v>
          </cell>
        </row>
        <row r="571">
          <cell r="F571" t="str">
            <v>LL-25-3287</v>
          </cell>
          <cell r="G571" t="str">
            <v>Scented Squishy 8 - Little Books -  WMT</v>
          </cell>
        </row>
        <row r="572">
          <cell r="F572" t="str">
            <v>LL-25-3278</v>
          </cell>
          <cell r="G572" t="str">
            <v>Scented Palm Calms Discovery Set - WMT</v>
          </cell>
        </row>
        <row r="573">
          <cell r="F573" t="str">
            <v>LL-14-3322</v>
          </cell>
          <cell r="G573" t="str">
            <v>Candle - Ribbed Pink - Very Vanilla - WALMART PKG</v>
          </cell>
        </row>
        <row r="574">
          <cell r="F574" t="str">
            <v>LL-12-3279</v>
          </cell>
          <cell r="G574" t="str">
            <v>Ebb &amp; Flow Journal + Pen Gift Set - WMT</v>
          </cell>
        </row>
        <row r="575">
          <cell r="F575" t="str">
            <v>LL-12-3280</v>
          </cell>
          <cell r="G575" t="str">
            <v>Find Your Path Journal + Pen Gift Set - WMT</v>
          </cell>
        </row>
        <row r="576">
          <cell r="F576" t="str">
            <v>LL-00-0001</v>
          </cell>
          <cell r="G576" t="str">
            <v>Empty Cardboard Shipper Base</v>
          </cell>
        </row>
        <row r="577">
          <cell r="F577" t="str">
            <v>LL-00-0002</v>
          </cell>
          <cell r="G577" t="str">
            <v>Empty Sidecap Shipper with Base</v>
          </cell>
        </row>
        <row r="578">
          <cell r="F578" t="str">
            <v>LL-00-0003</v>
          </cell>
          <cell r="G578" t="str">
            <v>Target Writing Sidecap Shipper (Summer 2025)</v>
          </cell>
        </row>
        <row r="579">
          <cell r="F579" t="str">
            <v>LL-00-0005</v>
          </cell>
          <cell r="G579" t="str">
            <v>Target Writing Endcap Shipper (Fall 2025) - Shelf A</v>
          </cell>
        </row>
        <row r="580">
          <cell r="F580" t="str">
            <v>LL-00-0006</v>
          </cell>
          <cell r="G580" t="str">
            <v>Target Writing Endcap Shipper (Fall 2025) - Shelf B</v>
          </cell>
        </row>
        <row r="581">
          <cell r="F581" t="str">
            <v>LL-00-0007</v>
          </cell>
          <cell r="G581" t="str">
            <v>Target Writing Endcap Shipper (Winter 2025) - Shelf A</v>
          </cell>
        </row>
        <row r="582">
          <cell r="F582" t="str">
            <v>LL-00-0008</v>
          </cell>
          <cell r="G582" t="str">
            <v>Target Writing Endcap Shipper (Winter 2025) - Shelf B</v>
          </cell>
        </row>
        <row r="583">
          <cell r="F583" t="str">
            <v>LL-00-0035</v>
          </cell>
          <cell r="G583" t="str">
            <v>Holiday Sidecap - FA Express - TGT - Full</v>
          </cell>
        </row>
        <row r="584">
          <cell r="F584" t="str">
            <v>LL-99-0035</v>
          </cell>
          <cell r="G584" t="str">
            <v>Holiday Sidecap - FA Express - TGT - Empty</v>
          </cell>
        </row>
        <row r="585">
          <cell r="F585" t="str">
            <v>LL-00-0009</v>
          </cell>
          <cell r="G585" t="str">
            <v>Meijer - Grounding Stone Shipper</v>
          </cell>
        </row>
        <row r="586">
          <cell r="F586" t="str">
            <v>LL-00-0010</v>
          </cell>
          <cell r="G586" t="str">
            <v>Target Sidecap Shipper + Base</v>
          </cell>
        </row>
        <row r="587">
          <cell r="F587" t="str">
            <v>LL-WM-0011</v>
          </cell>
          <cell r="G587" t="str">
            <v>BTS Sidecap - FA Minis - WALMART</v>
          </cell>
        </row>
        <row r="588">
          <cell r="F588" t="str">
            <v>LL-WM-0021</v>
          </cell>
          <cell r="G588" t="str">
            <v>BTS Sidecap - FA Minis - WALMART - Full</v>
          </cell>
        </row>
        <row r="589">
          <cell r="F589" t="str">
            <v>LL-WM-9921</v>
          </cell>
          <cell r="G589" t="str">
            <v>BTS Sidecap - FA Minis - WALMART - Empty</v>
          </cell>
        </row>
        <row r="590">
          <cell r="F590" t="str">
            <v>LL-WG-0018</v>
          </cell>
          <cell r="G590" t="str">
            <v>Tower - FA Minis - WALGREENS - Full</v>
          </cell>
        </row>
        <row r="591">
          <cell r="F591" t="str">
            <v>LL-WM-0005</v>
          </cell>
          <cell r="G591" t="str">
            <v>May26 Sidekick - FA - WALMART - 12</v>
          </cell>
        </row>
        <row r="592">
          <cell r="F592" t="str">
            <v>LL-WM-9905</v>
          </cell>
          <cell r="G592" t="str">
            <v>May26 Sidekick - FA - WALMART - Empty</v>
          </cell>
        </row>
        <row r="593">
          <cell r="F593" t="str">
            <v>LL-WM-0006</v>
          </cell>
          <cell r="G593" t="str">
            <v>Oct26 Sidekick - FA - WALMART - 16</v>
          </cell>
        </row>
        <row r="594">
          <cell r="F594" t="str">
            <v>LL-WM-9906</v>
          </cell>
          <cell r="G594" t="str">
            <v>Oct26 Sidekick - FA - WALMART - Empty</v>
          </cell>
        </row>
        <row r="595">
          <cell r="F595" t="str">
            <v>LL-00-0011</v>
          </cell>
          <cell r="G595" t="str">
            <v>BTS Sidecap - FA Minis</v>
          </cell>
        </row>
        <row r="596">
          <cell r="F596" t="str">
            <v>LL-99-0011</v>
          </cell>
          <cell r="G596" t="str">
            <v>BTS FA Mini Empty</v>
          </cell>
        </row>
        <row r="597">
          <cell r="F597" t="str">
            <v>LL-01-2026</v>
          </cell>
          <cell r="G597" t="str">
            <v>2026 Product Catalogue</v>
          </cell>
        </row>
        <row r="598">
          <cell r="F598" t="str">
            <v>LL-00-0014</v>
          </cell>
          <cell r="G598" t="str">
            <v>FA Mini - Counter Display - Full</v>
          </cell>
        </row>
        <row r="599">
          <cell r="F599" t="str">
            <v>LL-99-0014</v>
          </cell>
          <cell r="G599" t="str">
            <v>FA Mini - Counter Display - Empty</v>
          </cell>
        </row>
        <row r="600">
          <cell r="F600" t="str">
            <v>LL-00-0032</v>
          </cell>
          <cell r="G600" t="str">
            <v>FA Mini - PDQ Display - Full - 6</v>
          </cell>
        </row>
        <row r="601">
          <cell r="F601" t="str">
            <v>LL-99-0032</v>
          </cell>
          <cell r="G601" t="str">
            <v>FA Mini - PDQ Display - Empty</v>
          </cell>
        </row>
        <row r="602">
          <cell r="F602" t="str">
            <v>LL-00-0034</v>
          </cell>
          <cell r="G602" t="str">
            <v>FA Mini - Stew Leonard - 36</v>
          </cell>
        </row>
        <row r="603">
          <cell r="F603" t="str">
            <v>LL-00-0015</v>
          </cell>
          <cell r="G603" t="str">
            <v>FA Holiday Mini - Counter Display - Full</v>
          </cell>
        </row>
        <row r="604">
          <cell r="F604" t="str">
            <v>LL-99-0015</v>
          </cell>
          <cell r="G604" t="str">
            <v>FA Holiday Mini - Counter Display - Empty</v>
          </cell>
        </row>
        <row r="605">
          <cell r="F605" t="str">
            <v>LL-99-3087</v>
          </cell>
          <cell r="G605" t="str">
            <v>UNIVERSAL COUNTER DISPLAY - EMPTY</v>
          </cell>
        </row>
        <row r="606">
          <cell r="F606" t="str">
            <v>LL-00-0017</v>
          </cell>
          <cell r="G606" t="str">
            <v>Writing - Counter Display - Full</v>
          </cell>
        </row>
        <row r="607">
          <cell r="F607" t="str">
            <v>LL-00-0012</v>
          </cell>
          <cell r="G607" t="str">
            <v>Holiday Sidecap - FA Minis</v>
          </cell>
        </row>
        <row r="608">
          <cell r="F608" t="str">
            <v>LL-99-0012</v>
          </cell>
          <cell r="G608" t="str">
            <v>Holiday FA Mini Empty</v>
          </cell>
        </row>
        <row r="609">
          <cell r="F609" t="str">
            <v>LL-00-0024</v>
          </cell>
          <cell r="G609" t="str">
            <v>FlowArt Grocery Display Evergreen - 24</v>
          </cell>
        </row>
        <row r="610">
          <cell r="F610" t="str">
            <v>LL-99-0024</v>
          </cell>
          <cell r="G610" t="str">
            <v>FlowArt Grocery Display Evergreen - Empty</v>
          </cell>
        </row>
        <row r="611">
          <cell r="F611" t="str">
            <v>LL-00-0025</v>
          </cell>
          <cell r="G611" t="str">
            <v>FlowArt Summer Grocery Display - 24</v>
          </cell>
        </row>
        <row r="612">
          <cell r="F612" t="str">
            <v>LL-99-0025</v>
          </cell>
          <cell r="G612" t="str">
            <v>FlowArt Summer Grocery Display - 24</v>
          </cell>
        </row>
        <row r="613">
          <cell r="F613" t="str">
            <v>LL-00-0026</v>
          </cell>
          <cell r="G613" t="str">
            <v>FlowArt Fall Grocery Display - 24</v>
          </cell>
        </row>
        <row r="614">
          <cell r="F614" t="str">
            <v>LL-99-0026</v>
          </cell>
          <cell r="G614" t="str">
            <v>FlowArt Fall Grocery Display - Empty</v>
          </cell>
        </row>
        <row r="615">
          <cell r="F615"/>
          <cell r="G615" t="str">
            <v>FlowArt Fall Grocery Display - 24 - Version 2</v>
          </cell>
        </row>
        <row r="616">
          <cell r="F616" t="str">
            <v>LL-00-0027</v>
          </cell>
          <cell r="G616" t="str">
            <v>FlowArt Holiday Grocery Display - 24</v>
          </cell>
        </row>
        <row r="617">
          <cell r="F617" t="str">
            <v>LL-99-0027</v>
          </cell>
          <cell r="G617" t="str">
            <v>FlowArt Holiday Grocery Display - Empty</v>
          </cell>
        </row>
        <row r="618">
          <cell r="F618" t="str">
            <v>LL-00-0028</v>
          </cell>
          <cell r="G618" t="str">
            <v>FlowArt Mini Grocery Display - 36</v>
          </cell>
        </row>
        <row r="619">
          <cell r="F619" t="str">
            <v>LL-99-0028</v>
          </cell>
          <cell r="G619" t="str">
            <v>FlowArt Mini Grocery Display - Empty</v>
          </cell>
        </row>
        <row r="620">
          <cell r="F620" t="str">
            <v>LL-00-0029</v>
          </cell>
          <cell r="G620" t="str">
            <v>FlowArt Mini Holiday Grocery Display - 36</v>
          </cell>
        </row>
        <row r="621">
          <cell r="F621" t="str">
            <v>LL-99-0029</v>
          </cell>
          <cell r="G621" t="str">
            <v>FlowArt Mini Holiday Grocery Display - Empty</v>
          </cell>
        </row>
        <row r="622">
          <cell r="F622" t="str">
            <v>LL-00-0040</v>
          </cell>
          <cell r="G622" t="str">
            <v>FlowArt MINI EXPRESS - WMT - 72 - #1</v>
          </cell>
        </row>
        <row r="623">
          <cell r="F623" t="str">
            <v>LL-99-0040</v>
          </cell>
          <cell r="G623" t="str">
            <v>FlowArt MINI EXPRESS - WMT - EMPTY- #1</v>
          </cell>
        </row>
        <row r="624">
          <cell r="F624" t="str">
            <v>LL-00-0041</v>
          </cell>
          <cell r="G624" t="str">
            <v>FlowArt MINI EXPRESS - WMT - 72 - #2</v>
          </cell>
        </row>
        <row r="625">
          <cell r="F625" t="str">
            <v>LL-99-0041</v>
          </cell>
          <cell r="G625" t="str">
            <v>FlowArt MINI EXPRESS - WMT - EMPTY- #2</v>
          </cell>
        </row>
        <row r="626">
          <cell r="F626" t="str">
            <v>LL-00-0037</v>
          </cell>
          <cell r="G626" t="str">
            <v>FlowArt Mini Holiday Pharmacy Display - 40</v>
          </cell>
        </row>
        <row r="627">
          <cell r="F627" t="str">
            <v>LL-99-0037</v>
          </cell>
          <cell r="G627" t="str">
            <v>FlowArt Mini Holiday Pharmacy Display - Empty</v>
          </cell>
        </row>
        <row r="628">
          <cell r="F628" t="str">
            <v>LL-DG-9930</v>
          </cell>
          <cell r="G628" t="str">
            <v>FlowArt Mini EXPRESS - DISPLAY 1 - EMPTY</v>
          </cell>
        </row>
        <row r="629">
          <cell r="F629" t="str">
            <v>LL-DG-0030</v>
          </cell>
          <cell r="G629" t="str">
            <v>FlowArt Mini EXPRESS - DISPLAY 1 - 36</v>
          </cell>
        </row>
        <row r="630">
          <cell r="F630" t="str">
            <v>LL-DG-0031</v>
          </cell>
          <cell r="G630" t="str">
            <v>FlowArt Mini EXPRESS - DISPLAY 2 - 36</v>
          </cell>
        </row>
        <row r="631">
          <cell r="F631" t="str">
            <v>LL-99-0039</v>
          </cell>
          <cell r="G631" t="str">
            <v>FlowArt MINI Spring Display - Empty</v>
          </cell>
        </row>
        <row r="632">
          <cell r="F632" t="str">
            <v>LL-00-0039</v>
          </cell>
          <cell r="G632" t="str">
            <v>FlowArt MINI Spring Display - 36</v>
          </cell>
        </row>
        <row r="633">
          <cell r="F633" t="str">
            <v>LL-99-0038</v>
          </cell>
          <cell r="G633" t="str">
            <v>FlowArt Spring Display - Empty</v>
          </cell>
        </row>
        <row r="634">
          <cell r="F634" t="str">
            <v>LL-00-0038</v>
          </cell>
          <cell r="G634" t="str">
            <v>FlowArt Spring Display - 24</v>
          </cell>
        </row>
        <row r="635">
          <cell r="F635" t="str">
            <v>LL-99-0033</v>
          </cell>
          <cell r="G635" t="str">
            <v>FlowArt Valentine Display - Empty</v>
          </cell>
        </row>
        <row r="636">
          <cell r="F636" t="str">
            <v>LL-00-0033</v>
          </cell>
          <cell r="G636" t="str">
            <v>FlowArt Valentine Display - 24</v>
          </cell>
        </row>
        <row r="637">
          <cell r="F637" t="str">
            <v>LL-DISP-FA-SP26</v>
          </cell>
          <cell r="G637" t="str">
            <v>MT 2026 - FA Spring / Summer - 36</v>
          </cell>
        </row>
        <row r="638">
          <cell r="F638" t="str">
            <v>LL-DISP-FA-FA26</v>
          </cell>
          <cell r="G638" t="str">
            <v>MT 2026 - FA Fall - 24</v>
          </cell>
        </row>
        <row r="639">
          <cell r="F639" t="str">
            <v>LL-DISP-FA-WN26</v>
          </cell>
          <cell r="G639" t="str">
            <v>MT 2026 - FA Winter - 24</v>
          </cell>
        </row>
        <row r="640">
          <cell r="F640" t="str">
            <v>LL-DISP-WR2</v>
          </cell>
          <cell r="G640" t="str">
            <v>MT 2026 - Writing Display - 32</v>
          </cell>
        </row>
        <row r="641">
          <cell r="F641" t="str">
            <v>LL-DISP-WR1</v>
          </cell>
          <cell r="G641" t="str">
            <v>MT 2026 - Writing Display - 46</v>
          </cell>
        </row>
        <row r="642">
          <cell r="F642" t="str">
            <v>LL-RO-FA48</v>
          </cell>
          <cell r="G642" t="str">
            <v>MT 2026 - FA REORDER - 48</v>
          </cell>
        </row>
        <row r="643">
          <cell r="F643" t="str">
            <v>LL-TWR-FA160</v>
          </cell>
          <cell r="G643" t="str">
            <v>MT 2026 - FA Tower - 160</v>
          </cell>
        </row>
        <row r="644">
          <cell r="F644" t="str">
            <v>LL-DISP-FA2</v>
          </cell>
          <cell r="G644" t="str">
            <v>MT 2026 - FA Display - 36</v>
          </cell>
        </row>
        <row r="645">
          <cell r="F645" t="str">
            <v>LL-00-0016</v>
          </cell>
          <cell r="G645" t="str">
            <v>FA - Counter Display - Full - 36</v>
          </cell>
        </row>
        <row r="646">
          <cell r="F646" t="str">
            <v>LL-DISP-FA1</v>
          </cell>
          <cell r="G646" t="str">
            <v>MT 2026 - FA Display - 80</v>
          </cell>
        </row>
        <row r="647">
          <cell r="F647" t="str">
            <v>LL-00-0004</v>
          </cell>
          <cell r="G647" t="str">
            <v>FlowArt - Spinner Tower - Empty</v>
          </cell>
        </row>
        <row r="648">
          <cell r="F648" t="str">
            <v>LL-00-0018</v>
          </cell>
          <cell r="G648" t="str">
            <v>FlowArt - Spinner Tower - Full - 80</v>
          </cell>
        </row>
        <row r="649">
          <cell r="F649" t="str">
            <v>LL-00-0036</v>
          </cell>
          <cell r="G649" t="str">
            <v>FlowArt - DBL - Full - 4</v>
          </cell>
        </row>
        <row r="650">
          <cell r="F650" t="str">
            <v>LL-99-0036</v>
          </cell>
          <cell r="G650" t="str">
            <v>FlowArt - DBL - Empty - 4</v>
          </cell>
        </row>
        <row r="651">
          <cell r="F651" t="str">
            <v>LL-TOTE-BAG1</v>
          </cell>
          <cell r="G651" t="str">
            <v>Lifelines Tote</v>
          </cell>
        </row>
        <row r="652">
          <cell r="F652" t="str">
            <v>99-9101</v>
          </cell>
          <cell r="G652" t="str">
            <v>Assortment, PDQ - Oil Blends</v>
          </cell>
        </row>
        <row r="653">
          <cell r="F653" t="str">
            <v>99-9500</v>
          </cell>
          <cell r="G653" t="str">
            <v>Assortment, PDQ - Scented Writing Essentials</v>
          </cell>
        </row>
        <row r="654">
          <cell r="F654" t="str">
            <v>99-9505</v>
          </cell>
          <cell r="G654" t="str">
            <v>Tabletop Writing Display - Assortment</v>
          </cell>
        </row>
        <row r="655">
          <cell r="F655" t="str">
            <v>DS01-1001</v>
          </cell>
          <cell r="G655" t="str">
            <v>TYT Journal + CMA Pen + Pencils</v>
          </cell>
        </row>
        <row r="656">
          <cell r="F656" t="str">
            <v>DS01-1002</v>
          </cell>
          <cell r="G656" t="str">
            <v>SIU BG + CMA Pen + Pencils</v>
          </cell>
        </row>
        <row r="657">
          <cell r="F657" t="str">
            <v>DS01-1003</v>
          </cell>
          <cell r="G657" t="str">
            <v>Everyday Diffuser + Discovery</v>
          </cell>
        </row>
        <row r="658">
          <cell r="F658" t="str">
            <v>DS01-1004</v>
          </cell>
          <cell r="G658" t="str">
            <v>Waves + CMA 4Pck</v>
          </cell>
        </row>
        <row r="659">
          <cell r="F659" t="str">
            <v>DS01-1005</v>
          </cell>
          <cell r="G659" t="str">
            <v>Motion Fidget + Discovery</v>
          </cell>
        </row>
        <row r="660">
          <cell r="F660" t="str">
            <v>DS01-1006</v>
          </cell>
          <cell r="G660" t="str">
            <v>Meditative Fidget + Discovery</v>
          </cell>
        </row>
        <row r="661">
          <cell r="F661" t="str">
            <v>DS01-1007</v>
          </cell>
          <cell r="G661" t="str">
            <v>Gift Set + CMA Pen + Workbook</v>
          </cell>
        </row>
        <row r="662">
          <cell r="F662" t="str">
            <v>DS01-1008</v>
          </cell>
          <cell r="G662" t="str">
            <v>Lifelines Bath and Shower Diffuser Set</v>
          </cell>
        </row>
        <row r="663">
          <cell r="F663" t="str">
            <v>99-8302</v>
          </cell>
          <cell r="G663" t="str">
            <v>2024 BNC Spring Shipper Replen</v>
          </cell>
        </row>
        <row r="664">
          <cell r="F664" t="str">
            <v>99-8501</v>
          </cell>
          <cell r="G664" t="str">
            <v>BNC Writing Counter Display</v>
          </cell>
        </row>
        <row r="665">
          <cell r="F665" t="str">
            <v>99-9002</v>
          </cell>
          <cell r="G665" t="str">
            <v>Assortment, PDQ - Aroma Introduction</v>
          </cell>
        </row>
        <row r="666">
          <cell r="F666">
            <v>999003</v>
          </cell>
          <cell r="G666" t="str">
            <v>BNC Floor Display</v>
          </cell>
        </row>
        <row r="667">
          <cell r="F667">
            <v>999004</v>
          </cell>
          <cell r="G667" t="str">
            <v>Empty BNC Floor Display</v>
          </cell>
        </row>
        <row r="668">
          <cell r="F668" t="str">
            <v>LL-20-3304</v>
          </cell>
          <cell r="G668" t="str">
            <v>FlowArt: Mini, Holiday 3Pck #2</v>
          </cell>
        </row>
        <row r="669">
          <cell r="F669" t="str">
            <v>LL-20-3226</v>
          </cell>
          <cell r="G669" t="str">
            <v>FlowArt: Mini, 3Pck #3</v>
          </cell>
        </row>
        <row r="670">
          <cell r="F670" t="str">
            <v>LL-20-3252</v>
          </cell>
          <cell r="G670" t="str">
            <v>FlowArt: Mini Single - Holiday Cheer</v>
          </cell>
        </row>
        <row r="671">
          <cell r="F671" t="str">
            <v>LL-20-3253</v>
          </cell>
          <cell r="G671" t="str">
            <v>FlowArt: Mini Single - Sugar &amp; Spice</v>
          </cell>
        </row>
        <row r="672">
          <cell r="F672" t="str">
            <v>LL-20-3254</v>
          </cell>
          <cell r="G672" t="str">
            <v>FlowArt: Mini Single - Merry &amp; Bright</v>
          </cell>
        </row>
        <row r="673">
          <cell r="F673" t="str">
            <v>LL-20-3268</v>
          </cell>
          <cell r="G673" t="str">
            <v>FlowArt Minis: Nature's Wonder - WMT</v>
          </cell>
        </row>
        <row r="674">
          <cell r="F674" t="str">
            <v>LL-20-3269</v>
          </cell>
          <cell r="G674" t="str">
            <v>FlowArt Minis: Furry Friends - WMT</v>
          </cell>
        </row>
        <row r="675">
          <cell r="F675" t="str">
            <v>LL-20-3270</v>
          </cell>
          <cell r="G675" t="str">
            <v>FlowArt Minis: Pretty Petals - WMT</v>
          </cell>
        </row>
        <row r="676">
          <cell r="F676" t="str">
            <v>LL-16-3262</v>
          </cell>
          <cell r="G676" t="str">
            <v>FlowArt Trace By Line: Holiday Icons  - WMT</v>
          </cell>
        </row>
        <row r="677">
          <cell r="F677" t="str">
            <v>LL-16-3264</v>
          </cell>
          <cell r="G677" t="str">
            <v>FlowArt Dot-By-Letter: Woodland Wonders - WMT</v>
          </cell>
        </row>
        <row r="678">
          <cell r="F678" t="str">
            <v>LL-16-3265</v>
          </cell>
          <cell r="G678" t="str">
            <v>FlowArt Dot-By Letter: Majestic Earth - WMT [Metallic]</v>
          </cell>
        </row>
        <row r="679">
          <cell r="F679" t="str">
            <v>LL-16-3260</v>
          </cell>
          <cell r="G679" t="str">
            <v>FlowArt Dot-By-Letter: Holiday Classic  - WMT</v>
          </cell>
        </row>
        <row r="680">
          <cell r="F680" t="str">
            <v>LL-16-3267</v>
          </cell>
          <cell r="G680" t="str">
            <v>FlowArt Trace By Line: Sea Life Wonders - WMT</v>
          </cell>
        </row>
        <row r="681">
          <cell r="F681" t="str">
            <v>LL-16-3282</v>
          </cell>
          <cell r="G681" t="str">
            <v>FlowArt Dot-By-Letter Metallic Theme TBD 2 - WMT</v>
          </cell>
        </row>
        <row r="682">
          <cell r="F682" t="str">
            <v>LL-16-3143</v>
          </cell>
          <cell r="G682" t="str">
            <v>FlowArt: Illuminate &amp; Create, Wildlife - WALMART PKG</v>
          </cell>
        </row>
        <row r="683">
          <cell r="F683" t="str">
            <v>LL-12-3131</v>
          </cell>
          <cell r="G683" t="str">
            <v>Scented Lava Pen Set- 5-pack  - WALMART PKG</v>
          </cell>
        </row>
        <row r="684">
          <cell r="F684" t="str">
            <v>LL-16-3142</v>
          </cell>
          <cell r="G684" t="str">
            <v>FlowArt: Illuminate &amp; Create, Foliage and Flowers - WALMART PKG</v>
          </cell>
        </row>
        <row r="685">
          <cell r="F685" t="str">
            <v>LL-12-3135</v>
          </cell>
          <cell r="G685" t="str">
            <v>Pen Diffuser with Essential Oil Blends -  Strawberry Milkshake - WALMART PKG</v>
          </cell>
        </row>
        <row r="686">
          <cell r="F686" t="str">
            <v>LL-12-3134</v>
          </cell>
          <cell r="G686" t="str">
            <v>Scented Lava Pen Set - 2-pack (Lime Green / Violet)  - WALMART PKG</v>
          </cell>
        </row>
        <row r="687">
          <cell r="F687" t="str">
            <v>LL-14-3145</v>
          </cell>
          <cell r="G687" t="str">
            <v>DIFFUSER, LED,Bubble (Cream) - WALMART PKG</v>
          </cell>
        </row>
        <row r="688">
          <cell r="F688" t="str">
            <v>LL-14-3147</v>
          </cell>
          <cell r="G688" t="str">
            <v>Plant Diffuser - Succulent - Two Toned - WALMART PKG</v>
          </cell>
        </row>
        <row r="689">
          <cell r="F689" t="str">
            <v>LL-98-3171</v>
          </cell>
          <cell r="G689" t="str">
            <v>Ultimate Essential Oil Gift Set with EDPD - WALMART PKG</v>
          </cell>
        </row>
        <row r="690">
          <cell r="F690" t="str">
            <v>LL-11-3087</v>
          </cell>
          <cell r="G690" t="str">
            <v>Clickwick 2PK - SKU 5</v>
          </cell>
        </row>
        <row r="691">
          <cell r="F691" t="str">
            <v>LL-11-3088</v>
          </cell>
          <cell r="G691" t="str">
            <v>Clickwick 2PK - SKU 6</v>
          </cell>
        </row>
        <row r="692">
          <cell r="F692" t="str">
            <v>LL-11-3089</v>
          </cell>
          <cell r="G692" t="str">
            <v>Clickwick 2PK - SKU 7</v>
          </cell>
        </row>
        <row r="693">
          <cell r="F693">
            <v>165002</v>
          </cell>
          <cell r="G693" t="str">
            <v>FlowArt - Pattern art - Fur &amp; feathers</v>
          </cell>
        </row>
        <row r="694">
          <cell r="F694">
            <v>165003</v>
          </cell>
          <cell r="G694" t="str">
            <v>FlowArt - Multiline art - Land</v>
          </cell>
        </row>
        <row r="695">
          <cell r="F695">
            <v>165004</v>
          </cell>
          <cell r="G695" t="str">
            <v>FlowArt - Mosaic art - Flora &amp; Fauna</v>
          </cell>
        </row>
        <row r="696">
          <cell r="F696">
            <v>165010</v>
          </cell>
          <cell r="G696" t="str">
            <v>FlowArt - Pogo-dot - In the Garden</v>
          </cell>
        </row>
        <row r="697">
          <cell r="F697">
            <v>165011</v>
          </cell>
          <cell r="G697" t="str">
            <v>FlowArt - Dot-pop - Sea</v>
          </cell>
        </row>
        <row r="698">
          <cell r="F698">
            <v>165013</v>
          </cell>
          <cell r="G698" t="str">
            <v>FlowArt - Multiline art - Sea</v>
          </cell>
        </row>
        <row r="699">
          <cell r="F699">
            <v>167003</v>
          </cell>
          <cell r="G699" t="str">
            <v>Decor Art - Stencil Stationery</v>
          </cell>
        </row>
        <row r="700">
          <cell r="F700" t="str">
            <v>11-1613</v>
          </cell>
          <cell r="G700" t="str">
            <v>DIFFUSER, LED,Frosted Glass (Amber)</v>
          </cell>
        </row>
        <row r="701">
          <cell r="F701" t="str">
            <v>11-1614</v>
          </cell>
          <cell r="G701" t="str">
            <v>DIFFUSER, LED,Vertical Ribbed (White)</v>
          </cell>
        </row>
        <row r="702">
          <cell r="F702" t="str">
            <v>11-1615</v>
          </cell>
          <cell r="G702" t="str">
            <v>DIFFUSER, LED, Two Tone</v>
          </cell>
        </row>
        <row r="703">
          <cell r="F703" t="str">
            <v>11-1610</v>
          </cell>
          <cell r="G703" t="str">
            <v>Planter Diffuser -  Octagon (Cream)</v>
          </cell>
        </row>
        <row r="704">
          <cell r="F704" t="str">
            <v>16-0107</v>
          </cell>
          <cell r="G704" t="str">
            <v>Finger Maze Sensory Journal</v>
          </cell>
        </row>
        <row r="705">
          <cell r="F705" t="str">
            <v>LL-11-2522</v>
          </cell>
          <cell r="G705" t="str">
            <v>Lifelines Pen Diffuser with Essential Oil Blends -Diner (UO exclusive)</v>
          </cell>
        </row>
        <row r="706">
          <cell r="F706" t="str">
            <v>LL-11-2523</v>
          </cell>
          <cell r="G706" t="str">
            <v>Lifelines Pen Diffuser with Essential Oil Blends -Café  (UO exclusive)</v>
          </cell>
        </row>
        <row r="707">
          <cell r="F707" t="str">
            <v>11-0451</v>
          </cell>
          <cell r="G707" t="str">
            <v>Clickwick Replacement Bloom, Citrus</v>
          </cell>
        </row>
        <row r="708">
          <cell r="F708" t="str">
            <v>99-9502</v>
          </cell>
          <cell r="G708" t="str">
            <v>Pen Display - Empty</v>
          </cell>
        </row>
        <row r="709">
          <cell r="F709" t="str">
            <v>11-0452</v>
          </cell>
          <cell r="G709" t="str">
            <v>Clickwick Replacement Woods, Mountain</v>
          </cell>
        </row>
        <row r="710">
          <cell r="F710" t="str">
            <v>112522</v>
          </cell>
        </row>
        <row r="711">
          <cell r="F711" t="str">
            <v>99-9501</v>
          </cell>
          <cell r="G711" t="str">
            <v xml:space="preserve">Pen Diffuser Assortment - 30 ct </v>
          </cell>
        </row>
        <row r="712">
          <cell r="F712" t="str">
            <v>11-1618</v>
          </cell>
          <cell r="G712" t="str">
            <v>DIFFUSER, LED,Winter Edition (Frosted Green)</v>
          </cell>
        </row>
        <row r="713">
          <cell r="F713" t="str">
            <v>98-9220</v>
          </cell>
          <cell r="G713" t="str">
            <v>Candle + Oil  BOX Set  (4 oils) - Frosted Cream Candle</v>
          </cell>
        </row>
      </sheetData>
      <sheetData sheetId="4"/>
      <sheetData sheetId="5"/>
      <sheetData sheetId="6"/>
      <sheetData sheetId="7"/>
      <sheetData sheetId="8"/>
      <sheetData sheetId="9">
        <row r="1">
          <cell r="C1" t="str">
            <v>LL PN (Final)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10"/>
  <sheetViews>
    <sheetView tabSelected="1" workbookViewId="0">
      <pane ySplit="4" topLeftCell="A5" activePane="bottomLeft" state="frozen"/>
      <selection pane="bottomLeft" activeCell="E121" sqref="E121"/>
    </sheetView>
  </sheetViews>
  <sheetFormatPr defaultRowHeight="13.5"/>
  <cols>
    <col min="1" max="1" width="18.9375" bestFit="1" customWidth="1"/>
    <col min="2" max="2" width="10.75" bestFit="1" customWidth="1"/>
    <col min="3" max="3" width="15.125" style="2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4" t="s">
        <v>0</v>
      </c>
      <c r="B1" s="4"/>
      <c r="C1" s="4"/>
      <c r="D1" s="4"/>
      <c r="E1" s="4"/>
      <c r="F1" s="4"/>
    </row>
    <row r="2" spans="1:6">
      <c r="A2" s="4" t="s">
        <v>1</v>
      </c>
      <c r="B2" s="4"/>
      <c r="C2" s="4"/>
      <c r="D2" s="4"/>
      <c r="E2" s="4"/>
      <c r="F2" s="4"/>
    </row>
    <row r="4" spans="1:6">
      <c r="A4" t="s">
        <v>2</v>
      </c>
      <c r="B4" t="s">
        <v>3</v>
      </c>
      <c r="C4" s="2" t="s">
        <v>4</v>
      </c>
      <c r="D4" t="s">
        <v>85</v>
      </c>
      <c r="E4" t="s">
        <v>5</v>
      </c>
      <c r="F4" t="s">
        <v>6</v>
      </c>
    </row>
    <row r="5" spans="1:6">
      <c r="A5" t="s">
        <v>7</v>
      </c>
      <c r="B5">
        <v>1</v>
      </c>
      <c r="C5" s="2" t="s">
        <v>12</v>
      </c>
      <c r="D5" t="str">
        <f>IFERROR(IFERROR(VLOOKUP($C5, [1]SBOM!$F:$G, 2, FALSE), VLOOKUP(VALUE($C5), [1]SBOM!$F:$G, 2, FALSE)), "")</f>
        <v>FlowArt: Mini Single - Nature's Wonders</v>
      </c>
      <c r="E5">
        <v>6</v>
      </c>
      <c r="F5">
        <v>3.5</v>
      </c>
    </row>
    <row r="6" spans="1:6">
      <c r="A6" t="s">
        <v>7</v>
      </c>
      <c r="B6">
        <v>2</v>
      </c>
      <c r="C6" s="2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s="2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s="2" t="s">
        <v>11</v>
      </c>
      <c r="D8" t="str">
        <f>IFERROR(IFERROR(VLOOKUP($C8, [1]SBOM!$F:$G, 2, FALSE), VLOOKUP(VALUE($C8), [1]SBOM!$F:$G, 2, FALSE)), "")</f>
        <v>FlowArt: Mini Single - Pretty Petals</v>
      </c>
      <c r="E8">
        <v>6</v>
      </c>
      <c r="F8">
        <v>3.5</v>
      </c>
    </row>
    <row r="9" spans="1:6">
      <c r="A9" t="s">
        <v>7</v>
      </c>
      <c r="B9">
        <v>5</v>
      </c>
      <c r="C9" s="2" t="s">
        <v>8</v>
      </c>
      <c r="D9" t="str">
        <f>IFERROR(IFERROR(VLOOKUP($C9, [1]SBOM!$F:$G, 2, FALSE), VLOOKUP(VALUE($C9), [1]SBOM!$F:$G, 2, FALSE)), "")</f>
        <v>FlowArt: Mini Single - Pocket Positivity</v>
      </c>
      <c r="E9">
        <v>6</v>
      </c>
      <c r="F9">
        <v>3.5</v>
      </c>
    </row>
    <row r="10" spans="1:6">
      <c r="A10" t="s">
        <v>7</v>
      </c>
      <c r="B10">
        <v>6</v>
      </c>
      <c r="C10" s="2" t="s">
        <v>13</v>
      </c>
      <c r="D10" t="str">
        <f>IFERROR(IFERROR(VLOOKUP($C10, [1]SBOM!$F:$G, 2, FALSE), VLOOKUP(VALUE($C10), [1]SBOM!$F:$G, 2, FALSE)), "")</f>
        <v>FlowArt: Mini Single - Furry Friends</v>
      </c>
      <c r="E10">
        <v>6</v>
      </c>
      <c r="F10">
        <v>3.5</v>
      </c>
    </row>
    <row r="11" spans="1:6" s="1" customFormat="1">
      <c r="A11" s="1" t="s">
        <v>7</v>
      </c>
      <c r="B11" s="1">
        <v>7</v>
      </c>
      <c r="C11" s="3" t="s">
        <v>87</v>
      </c>
      <c r="D11" s="1" t="str">
        <f>IFERROR(IFERROR(VLOOKUP($C11, [1]SBOM!$F:$G, 2, FALSE), VLOOKUP(VALUE($C11), [1]SBOM!$F:$G, 2, FALSE)), "")</f>
        <v>FA Mini - Counter Display - Empty</v>
      </c>
      <c r="E11" s="1">
        <v>1</v>
      </c>
      <c r="F11" s="1">
        <v>0</v>
      </c>
    </row>
    <row r="12" spans="1:6">
      <c r="A12" t="s">
        <v>14</v>
      </c>
      <c r="B12">
        <v>1</v>
      </c>
      <c r="C12" s="2" t="s">
        <v>12</v>
      </c>
      <c r="D12" t="str">
        <f>IFERROR(IFERROR(VLOOKUP($C12, [1]SBOM!$F:$G, 2, FALSE), VLOOKUP(VALUE($C12), [1]SBOM!$F:$G, 2, FALSE)), "")</f>
        <v>FlowArt: Mini Single - Nature's Wonders</v>
      </c>
      <c r="E12">
        <v>12</v>
      </c>
      <c r="F12">
        <v>3.5</v>
      </c>
    </row>
    <row r="13" spans="1:6">
      <c r="A13" t="s">
        <v>14</v>
      </c>
      <c r="B13">
        <v>2</v>
      </c>
      <c r="C13" s="2" t="s">
        <v>9</v>
      </c>
      <c r="D13" t="str">
        <f>IFERROR(IFERROR(VLOOKUP($C13, [1]SBOM!$F:$G, 2, FALSE), VLOOKUP(VALUE($C13), [1]SBOM!$F:$G, 2, FALSE)), "")</f>
        <v>FlowArt: Mini Single - Café Comforts</v>
      </c>
      <c r="E13">
        <v>6</v>
      </c>
      <c r="F13">
        <v>3.5</v>
      </c>
    </row>
    <row r="14" spans="1:6">
      <c r="A14" t="s">
        <v>14</v>
      </c>
      <c r="B14">
        <v>3</v>
      </c>
      <c r="C14" s="2" t="s">
        <v>10</v>
      </c>
      <c r="D14" t="str">
        <f>IFERROR(IFERROR(VLOOKUP($C14, [1]SBOM!$F:$G, 2, FALSE), VLOOKUP(VALUE($C14), [1]SBOM!$F:$G, 2, FALSE)), "")</f>
        <v>FlowArt: Mini Single - Enchanted Magic</v>
      </c>
      <c r="E14">
        <v>6</v>
      </c>
      <c r="F14">
        <v>3.5</v>
      </c>
    </row>
    <row r="15" spans="1:6">
      <c r="A15" t="s">
        <v>14</v>
      </c>
      <c r="B15">
        <v>4</v>
      </c>
      <c r="C15" s="2" t="s">
        <v>11</v>
      </c>
      <c r="D15" t="str">
        <f>IFERROR(IFERROR(VLOOKUP($C15, [1]SBOM!$F:$G, 2, FALSE), VLOOKUP(VALUE($C15), [1]SBOM!$F:$G, 2, FALSE)), "")</f>
        <v>FlowArt: Mini Single - Pretty Petals</v>
      </c>
      <c r="E15">
        <v>12</v>
      </c>
      <c r="F15">
        <v>3.5</v>
      </c>
    </row>
    <row r="16" spans="1:6">
      <c r="A16" t="s">
        <v>14</v>
      </c>
      <c r="B16">
        <v>4</v>
      </c>
      <c r="C16" s="2" t="s">
        <v>8</v>
      </c>
      <c r="D16" t="str">
        <f>IFERROR(IFERROR(VLOOKUP($C16, [1]SBOM!$F:$G, 2, FALSE), VLOOKUP(VALUE($C16), [1]SBOM!$F:$G, 2, FALSE)), "")</f>
        <v>FlowArt: Mini Single - Pocket Positivity</v>
      </c>
      <c r="E16">
        <v>6</v>
      </c>
      <c r="F16">
        <v>3.5</v>
      </c>
    </row>
    <row r="17" spans="1:6" s="1" customFormat="1">
      <c r="A17" s="1" t="s">
        <v>14</v>
      </c>
      <c r="B17" s="1">
        <v>6</v>
      </c>
      <c r="C17" s="3" t="s">
        <v>13</v>
      </c>
      <c r="D17" s="1" t="str">
        <f>IFERROR(IFERROR(VLOOKUP($C17, [1]SBOM!$F:$G, 2, FALSE), VLOOKUP(VALUE($C17), [1]SBOM!$F:$G, 2, FALSE)), "")</f>
        <v>FlowArt: Mini Single - Furry Friends</v>
      </c>
      <c r="E17" s="1">
        <v>12</v>
      </c>
      <c r="F17" s="1">
        <v>3.5</v>
      </c>
    </row>
    <row r="18" spans="1:6">
      <c r="A18" t="s">
        <v>15</v>
      </c>
      <c r="B18">
        <v>1</v>
      </c>
      <c r="C18" s="2" t="s">
        <v>16</v>
      </c>
      <c r="D18" t="str">
        <f>IFERROR(IFERROR(VLOOKUP($C18, [1]SBOM!$F:$G, 2, FALSE), VLOOKUP(VALUE($C18), [1]SBOM!$F:$G, 2, FALSE)), "")</f>
        <v>FlowArt: Mini Single - Deck the Halls [Metallic]</v>
      </c>
      <c r="E18">
        <v>18</v>
      </c>
      <c r="F18">
        <v>3.5</v>
      </c>
    </row>
    <row r="19" spans="1:6">
      <c r="A19" t="s">
        <v>15</v>
      </c>
      <c r="B19">
        <v>2</v>
      </c>
      <c r="C19" s="2" t="s">
        <v>17</v>
      </c>
      <c r="D19" t="str">
        <f>IFERROR(IFERROR(VLOOKUP($C19, [1]SBOM!$F:$G, 2, FALSE), VLOOKUP(VALUE($C19), [1]SBOM!$F:$G, 2, FALSE)), "")</f>
        <v>FlowArt: Mini Single - Frosted Village [Metallic]</v>
      </c>
      <c r="E19">
        <v>9</v>
      </c>
      <c r="F19">
        <v>3.5</v>
      </c>
    </row>
    <row r="20" spans="1:6">
      <c r="A20" t="s">
        <v>15</v>
      </c>
      <c r="B20">
        <v>3</v>
      </c>
      <c r="C20" s="2" t="s">
        <v>18</v>
      </c>
      <c r="D20" t="str">
        <f>IFERROR(IFERROR(VLOOKUP($C20, [1]SBOM!$F:$G, 2, FALSE), VLOOKUP(VALUE($C20), [1]SBOM!$F:$G, 2, FALSE)), "")</f>
        <v>FlowArt: Mini Single - Snowflake Serenity [Metallic]</v>
      </c>
      <c r="E20">
        <v>9</v>
      </c>
      <c r="F20">
        <v>3.5</v>
      </c>
    </row>
    <row r="21" spans="1:6" s="1" customFormat="1">
      <c r="A21" s="1" t="s">
        <v>15</v>
      </c>
      <c r="B21" s="1">
        <v>4</v>
      </c>
      <c r="C21" s="3" t="s">
        <v>19</v>
      </c>
      <c r="D21" s="1" t="str">
        <f>IFERROR(IFERROR(VLOOKUP($C21, [1]SBOM!$F:$G, 2, FALSE), VLOOKUP(VALUE($C21), [1]SBOM!$F:$G, 2, FALSE)), "")</f>
        <v>FA Holiday Mini - Counter Display - Empty</v>
      </c>
      <c r="E21" s="1">
        <v>1</v>
      </c>
      <c r="F21" s="1">
        <v>0</v>
      </c>
    </row>
    <row r="22" spans="1:6">
      <c r="A22" t="s">
        <v>20</v>
      </c>
      <c r="B22">
        <v>1</v>
      </c>
      <c r="C22" s="2" t="s">
        <v>21</v>
      </c>
      <c r="D22" t="str">
        <f>IFERROR(IFERROR(VLOOKUP($C22, [1]SBOM!$F:$G, 2, FALSE), VLOOKUP(VALUE($C22), [1]SBOM!$F:$G, 2, FALSE)), "")</f>
        <v>FlowArt: Dot-By-Letter, Cozy Cottage</v>
      </c>
      <c r="E22">
        <v>8</v>
      </c>
      <c r="F22">
        <v>6.5</v>
      </c>
    </row>
    <row r="23" spans="1:6">
      <c r="A23" t="s">
        <v>20</v>
      </c>
      <c r="B23">
        <v>2</v>
      </c>
      <c r="C23" s="2" t="s">
        <v>22</v>
      </c>
      <c r="D23" t="str">
        <f>IFERROR(IFERROR(VLOOKUP($C23, [1]SBOM!$F:$G, 2, FALSE), VLOOKUP(VALUE($C23), [1]SBOM!$F:$G, 2, FALSE)), "")</f>
        <v>FlowArt: Color-to-Reveal, Foodie Fun</v>
      </c>
      <c r="E23">
        <v>4</v>
      </c>
      <c r="F23">
        <v>6.5</v>
      </c>
    </row>
    <row r="24" spans="1:6">
      <c r="A24" t="s">
        <v>20</v>
      </c>
      <c r="B24">
        <v>3</v>
      </c>
      <c r="C24" s="2" t="s">
        <v>23</v>
      </c>
      <c r="D24" t="str">
        <f>IFERROR(IFERROR(VLOOKUP($C24, [1]SBOM!$F:$G, 2, FALSE), VLOOKUP(VALUE($C24), [1]SBOM!$F:$G, 2, FALSE)), "")</f>
        <v>FlowArt: Trace-By-Line, Woodland Whimsy</v>
      </c>
      <c r="E24">
        <v>4</v>
      </c>
      <c r="F24">
        <v>6.5</v>
      </c>
    </row>
    <row r="25" spans="1:6">
      <c r="A25" t="s">
        <v>20</v>
      </c>
      <c r="B25">
        <v>4</v>
      </c>
      <c r="C25" s="2" t="s">
        <v>24</v>
      </c>
      <c r="D25" t="str">
        <f>IFERROR(IFERROR(VLOOKUP($C25, [1]SBOM!$F:$G, 2, FALSE), VLOOKUP(VALUE($C25), [1]SBOM!$F:$G, 2, FALSE)), "")</f>
        <v>FlowArt: Stamp by Shape, Secret Garden</v>
      </c>
      <c r="E25">
        <v>4</v>
      </c>
      <c r="F25">
        <v>6.5</v>
      </c>
    </row>
    <row r="26" spans="1:6">
      <c r="A26" t="s">
        <v>20</v>
      </c>
      <c r="B26">
        <v>5</v>
      </c>
      <c r="C26" s="2" t="s">
        <v>25</v>
      </c>
      <c r="D26" t="str">
        <f>IFERROR(IFERROR(VLOOKUP($C26, [1]SBOM!$F:$G, 2, FALSE), VLOOKUP(VALUE($C26), [1]SBOM!$F:$G, 2, FALSE)), "")</f>
        <v>FlowArt: Color-to-Reveal, Fragrant Blooms</v>
      </c>
      <c r="E26">
        <v>4</v>
      </c>
      <c r="F26">
        <v>6.5</v>
      </c>
    </row>
    <row r="27" spans="1:6">
      <c r="A27" t="s">
        <v>20</v>
      </c>
      <c r="B27">
        <v>6</v>
      </c>
      <c r="C27" s="2" t="s">
        <v>26</v>
      </c>
      <c r="D27" t="str">
        <f>IFERROR(IFERROR(VLOOKUP($C27, [1]SBOM!$F:$G, 2, FALSE), VLOOKUP(VALUE($C27), [1]SBOM!$F:$G, 2, FALSE)), "")</f>
        <v>FlowArt: Trace-By-Line, Tropical Paradise</v>
      </c>
      <c r="E27">
        <v>4</v>
      </c>
      <c r="F27">
        <v>6.5</v>
      </c>
    </row>
    <row r="28" spans="1:6">
      <c r="A28" t="s">
        <v>20</v>
      </c>
      <c r="B28">
        <v>7</v>
      </c>
      <c r="C28" s="2" t="s">
        <v>27</v>
      </c>
      <c r="D28" t="str">
        <f>IFERROR(IFERROR(VLOOKUP($C28, [1]SBOM!$F:$G, 2, FALSE), VLOOKUP(VALUE($C28), [1]SBOM!$F:$G, 2, FALSE)), "")</f>
        <v>FlowArt: Dot-By-Letter, Day at the Beach</v>
      </c>
      <c r="E28">
        <v>4</v>
      </c>
      <c r="F28">
        <v>6.5</v>
      </c>
    </row>
    <row r="29" spans="1:6" s="1" customFormat="1">
      <c r="A29" s="1" t="s">
        <v>20</v>
      </c>
      <c r="B29" s="1">
        <v>8</v>
      </c>
      <c r="C29" s="3" t="s">
        <v>86</v>
      </c>
      <c r="D29" s="1" t="str">
        <f>IFERROR(IFERROR(VLOOKUP($C29, [1]SBOM!$F:$G, 2, FALSE), VLOOKUP(VALUE($C29), [1]SBOM!$F:$G, 2, FALSE)), "")</f>
        <v>FlowArt: Dot-By-Letter, Everyday Inspiration</v>
      </c>
      <c r="E29" s="1">
        <v>4</v>
      </c>
      <c r="F29" s="1">
        <v>6.5</v>
      </c>
    </row>
    <row r="30" spans="1:6">
      <c r="A30" t="s">
        <v>29</v>
      </c>
      <c r="B30">
        <v>1</v>
      </c>
      <c r="C30" s="2" t="s">
        <v>30</v>
      </c>
      <c r="D30" t="str">
        <f>IFERROR(IFERROR(VLOOKUP($C30, [1]SBOM!$F:$G, 2, FALSE), VLOOKUP(VALUE($C30), [1]SBOM!$F:$G, 2, FALSE)), "")</f>
        <v>FlowArt: Dot-By-Letter, Strolling through Fall</v>
      </c>
      <c r="E30">
        <v>4</v>
      </c>
      <c r="F30">
        <v>6.5</v>
      </c>
    </row>
    <row r="31" spans="1:6">
      <c r="A31" t="s">
        <v>29</v>
      </c>
      <c r="B31">
        <v>2</v>
      </c>
      <c r="C31" s="2" t="s">
        <v>31</v>
      </c>
      <c r="D31" t="str">
        <f>IFERROR(IFERROR(VLOOKUP($C31, [1]SBOM!$F:$G, 2, FALSE), VLOOKUP(VALUE($C31), [1]SBOM!$F:$G, 2, FALSE)), "")</f>
        <v>FlowArt: Dot-By-Letter, Pumpkins &amp; Pastures</v>
      </c>
      <c r="E31">
        <v>8</v>
      </c>
      <c r="F31">
        <v>6.5</v>
      </c>
    </row>
    <row r="32" spans="1:6">
      <c r="A32" t="s">
        <v>29</v>
      </c>
      <c r="B32">
        <v>3</v>
      </c>
      <c r="C32" s="2" t="s">
        <v>32</v>
      </c>
      <c r="D32" t="str">
        <f>IFERROR(IFERROR(VLOOKUP($C32, [1]SBOM!$F:$G, 2, FALSE), VLOOKUP(VALUE($C32), [1]SBOM!$F:$G, 2, FALSE)), "")</f>
        <v>FlowArt: Trace-By-Line, Fall Harvest</v>
      </c>
      <c r="E32">
        <v>4</v>
      </c>
      <c r="F32">
        <v>6.5</v>
      </c>
    </row>
    <row r="33" spans="1:6" s="1" customFormat="1">
      <c r="A33" s="1" t="s">
        <v>29</v>
      </c>
      <c r="B33" s="1">
        <v>4</v>
      </c>
      <c r="C33" s="3" t="s">
        <v>33</v>
      </c>
      <c r="D33" s="1" t="str">
        <f>IFERROR(IFERROR(VLOOKUP($C33, [1]SBOM!$F:$G, 2, FALSE), VLOOKUP(VALUE($C33), [1]SBOM!$F:$G, 2, FALSE)), "")</f>
        <v>FlowArt: Dot-By-Letter, Sweater Weather [2026]</v>
      </c>
      <c r="E33" s="1">
        <v>8</v>
      </c>
      <c r="F33" s="1">
        <v>6.5</v>
      </c>
    </row>
    <row r="34" spans="1:6">
      <c r="A34" t="s">
        <v>34</v>
      </c>
      <c r="B34">
        <v>1</v>
      </c>
      <c r="C34" s="2" t="s">
        <v>35</v>
      </c>
      <c r="D34" t="str">
        <f>IFERROR(IFERROR(VLOOKUP($C34, [1]SBOM!$F:$G, 2, FALSE), VLOOKUP(VALUE($C34), [1]SBOM!$F:$G, 2, FALSE)), "")</f>
        <v>FlowArt: Dot-By-Letter, Winter Wonderland</v>
      </c>
      <c r="E34">
        <v>8</v>
      </c>
      <c r="F34">
        <v>6.5</v>
      </c>
    </row>
    <row r="35" spans="1:6">
      <c r="A35" t="s">
        <v>34</v>
      </c>
      <c r="B35">
        <v>2</v>
      </c>
      <c r="C35" s="2" t="s">
        <v>36</v>
      </c>
      <c r="D35" t="str">
        <f>IFERROR(IFERROR(VLOOKUP($C35, [1]SBOM!$F:$G, 2, FALSE), VLOOKUP(VALUE($C35), [1]SBOM!$F:$G, 2, FALSE)), "")</f>
        <v>FlowArt: Dot-By-Letter, Snowed In</v>
      </c>
      <c r="E35">
        <v>8</v>
      </c>
      <c r="F35">
        <v>6.5</v>
      </c>
    </row>
    <row r="36" spans="1:6">
      <c r="A36" t="s">
        <v>34</v>
      </c>
      <c r="B36">
        <v>3</v>
      </c>
      <c r="C36" s="2" t="s">
        <v>37</v>
      </c>
      <c r="D36" t="str">
        <f>IFERROR(IFERROR(VLOOKUP($C36, [1]SBOM!$F:$G, 2, FALSE), VLOOKUP(VALUE($C36), [1]SBOM!$F:$G, 2, FALSE)), "")</f>
        <v>FlowArt: Color-to-Reveal, Home for the Holidays [Scented]</v>
      </c>
      <c r="E36">
        <v>4</v>
      </c>
      <c r="F36">
        <v>6.5</v>
      </c>
    </row>
    <row r="37" spans="1:6" s="1" customFormat="1">
      <c r="A37" s="1" t="s">
        <v>34</v>
      </c>
      <c r="B37" s="1">
        <v>4</v>
      </c>
      <c r="C37" s="3" t="s">
        <v>38</v>
      </c>
      <c r="D37" s="1" t="str">
        <f>IFERROR(IFERROR(VLOOKUP($C37, [1]SBOM!$F:$G, 2, FALSE), VLOOKUP(VALUE($C37), [1]SBOM!$F:$G, 2, FALSE)), "")</f>
        <v>FlowArt: Dot-By-Letter, Winter's Glow [Metallic ink]</v>
      </c>
      <c r="E37" s="1">
        <v>4</v>
      </c>
      <c r="F37" s="1">
        <v>6.5</v>
      </c>
    </row>
    <row r="38" spans="1:6">
      <c r="A38" t="s">
        <v>39</v>
      </c>
      <c r="B38">
        <v>1</v>
      </c>
      <c r="C38" s="2" t="s">
        <v>42</v>
      </c>
      <c r="D38" t="str">
        <f>IFERROR(IFERROR(VLOOKUP($C38, [1]SBOM!$F:$G, 2, FALSE), VLOOKUP(VALUE($C38), [1]SBOM!$F:$G, 2, FALSE)), "")</f>
        <v>FlowArt: Dot-By-Letter, Into the Galaxy [Metallic ink]</v>
      </c>
      <c r="E38">
        <v>8</v>
      </c>
      <c r="F38">
        <v>6.5</v>
      </c>
    </row>
    <row r="39" spans="1:6">
      <c r="A39" t="s">
        <v>39</v>
      </c>
      <c r="B39">
        <v>2</v>
      </c>
      <c r="C39" s="2" t="s">
        <v>21</v>
      </c>
      <c r="D39" t="str">
        <f>IFERROR(IFERROR(VLOOKUP($C39, [1]SBOM!$F:$G, 2, FALSE), VLOOKUP(VALUE($C39), [1]SBOM!$F:$G, 2, FALSE)), "")</f>
        <v>FlowArt: Dot-By-Letter, Cozy Cottage</v>
      </c>
      <c r="E39">
        <v>8</v>
      </c>
      <c r="F39">
        <v>6.5</v>
      </c>
    </row>
    <row r="40" spans="1:6">
      <c r="A40" t="s">
        <v>39</v>
      </c>
      <c r="B40">
        <v>3</v>
      </c>
      <c r="C40" s="2" t="s">
        <v>43</v>
      </c>
      <c r="D40" t="str">
        <f>IFERROR(IFERROR(VLOOKUP($C40, [1]SBOM!$F:$G, 2, FALSE), VLOOKUP(VALUE($C40), [1]SBOM!$F:$G, 2, FALSE)), "")</f>
        <v>FlowArt: Dot-By-Letter, Into the Deep [Metallic ink]</v>
      </c>
      <c r="E40">
        <v>4</v>
      </c>
      <c r="F40">
        <v>6.5</v>
      </c>
    </row>
    <row r="41" spans="1:6">
      <c r="A41" t="s">
        <v>39</v>
      </c>
      <c r="B41">
        <v>4</v>
      </c>
      <c r="C41" s="2" t="s">
        <v>69</v>
      </c>
      <c r="D41" t="str">
        <f>IFERROR(IFERROR(VLOOKUP($C41, [1]SBOM!$F:$G, 2, FALSE), VLOOKUP(VALUE($C41), [1]SBOM!$F:$G, 2, FALSE)), "")</f>
        <v>FlowArt: Dot-By-Letter, Americana</v>
      </c>
      <c r="E41">
        <v>4</v>
      </c>
      <c r="F41">
        <v>6.5</v>
      </c>
    </row>
    <row r="42" spans="1:6">
      <c r="A42" t="s">
        <v>39</v>
      </c>
      <c r="B42">
        <v>5</v>
      </c>
      <c r="C42" s="2" t="s">
        <v>71</v>
      </c>
      <c r="D42" t="str">
        <f>IFERROR(IFERROR(VLOOKUP($C42, [1]SBOM!$F:$G, 2, FALSE), VLOOKUP(VALUE($C42), [1]SBOM!$F:$G, 2, FALSE)), "")</f>
        <v>FlowArt: Trace-By-Line, Brunch in Bloom</v>
      </c>
      <c r="E42">
        <v>4</v>
      </c>
      <c r="F42">
        <v>6.5</v>
      </c>
    </row>
    <row r="43" spans="1:6">
      <c r="A43" t="s">
        <v>39</v>
      </c>
      <c r="B43">
        <v>6</v>
      </c>
      <c r="C43" s="2" t="s">
        <v>68</v>
      </c>
      <c r="D43" t="str">
        <f>IFERROR(IFERROR(VLOOKUP($C43, [1]SBOM!$F:$G, 2, FALSE), VLOOKUP(VALUE($C43), [1]SBOM!$F:$G, 2, FALSE)), "")</f>
        <v>FlowArt: Dot-By-Letter, Wags &amp; Whiskers</v>
      </c>
      <c r="E43">
        <v>4</v>
      </c>
      <c r="F43">
        <v>6.5</v>
      </c>
    </row>
    <row r="44" spans="1:6">
      <c r="A44" t="s">
        <v>39</v>
      </c>
      <c r="B44">
        <v>7</v>
      </c>
      <c r="C44" s="2" t="s">
        <v>27</v>
      </c>
      <c r="D44" t="str">
        <f>IFERROR(IFERROR(VLOOKUP($C44, [1]SBOM!$F:$G, 2, FALSE), VLOOKUP(VALUE($C44), [1]SBOM!$F:$G, 2, FALSE)), "")</f>
        <v>FlowArt: Dot-By-Letter, Day at the Beach</v>
      </c>
      <c r="E44">
        <v>4</v>
      </c>
      <c r="F44">
        <v>6.5</v>
      </c>
    </row>
    <row r="45" spans="1:6" s="1" customFormat="1">
      <c r="A45" s="1" t="s">
        <v>39</v>
      </c>
      <c r="B45" s="1">
        <v>8</v>
      </c>
      <c r="C45" s="3" t="s">
        <v>45</v>
      </c>
      <c r="D45" s="1" t="str">
        <f>IFERROR(IFERROR(VLOOKUP($C45, [1]SBOM!$F:$G, 2, FALSE), VLOOKUP(VALUE($C45), [1]SBOM!$F:$G, 2, FALSE)), "")</f>
        <v>UNIVERSAL COUNTER DISPLAY - EMPTY</v>
      </c>
      <c r="E45" s="1">
        <v>1</v>
      </c>
      <c r="F45" s="1">
        <v>0</v>
      </c>
    </row>
    <row r="46" spans="1:6">
      <c r="A46" t="s">
        <v>46</v>
      </c>
      <c r="B46">
        <v>1</v>
      </c>
      <c r="C46" s="2">
        <v>165005</v>
      </c>
      <c r="D46" t="str">
        <f>IFERROR(IFERROR(VLOOKUP($C46, [1]SBOM!$F:$G, 2, FALSE), VLOOKUP(VALUE($C46), [1]SBOM!$F:$G, 2, FALSE)), "")</f>
        <v>FlowArt: Dot-By-Letter, Botanicals</v>
      </c>
      <c r="E46">
        <v>4</v>
      </c>
      <c r="F46">
        <v>6.5</v>
      </c>
    </row>
    <row r="47" spans="1:6">
      <c r="A47" t="s">
        <v>46</v>
      </c>
      <c r="B47">
        <v>2</v>
      </c>
      <c r="C47" s="2">
        <v>165008</v>
      </c>
      <c r="D47" t="str">
        <f>IFERROR(IFERROR(VLOOKUP($C47, [1]SBOM!$F:$G, 2, FALSE), VLOOKUP(VALUE($C47), [1]SBOM!$F:$G, 2, FALSE)), "")</f>
        <v>FlowArt: Dot-By-Letter, Landscapes</v>
      </c>
      <c r="E47">
        <v>4</v>
      </c>
      <c r="F47">
        <v>6.5</v>
      </c>
    </row>
    <row r="48" spans="1:6">
      <c r="A48" t="s">
        <v>46</v>
      </c>
      <c r="B48">
        <v>3</v>
      </c>
      <c r="C48" s="2" t="s">
        <v>42</v>
      </c>
      <c r="D48" t="str">
        <f>IFERROR(IFERROR(VLOOKUP($C48, [1]SBOM!$F:$G, 2, FALSE), VLOOKUP(VALUE($C48), [1]SBOM!$F:$G, 2, FALSE)), "")</f>
        <v>FlowArt: Dot-By-Letter, Into the Galaxy [Metallic ink]</v>
      </c>
      <c r="E48">
        <v>8</v>
      </c>
      <c r="F48">
        <v>6.5</v>
      </c>
    </row>
    <row r="49" spans="1:6">
      <c r="A49" t="s">
        <v>46</v>
      </c>
      <c r="B49">
        <v>4</v>
      </c>
      <c r="C49" s="2" t="s">
        <v>21</v>
      </c>
      <c r="D49" t="str">
        <f>IFERROR(IFERROR(VLOOKUP($C49, [1]SBOM!$F:$G, 2, FALSE), VLOOKUP(VALUE($C49), [1]SBOM!$F:$G, 2, FALSE)), "")</f>
        <v>FlowArt: Dot-By-Letter, Cozy Cottage</v>
      </c>
      <c r="E49">
        <v>8</v>
      </c>
      <c r="F49">
        <v>6.5</v>
      </c>
    </row>
    <row r="50" spans="1:6">
      <c r="A50" t="s">
        <v>46</v>
      </c>
      <c r="B50">
        <v>5</v>
      </c>
      <c r="C50" s="2" t="s">
        <v>69</v>
      </c>
      <c r="D50" t="str">
        <f>IFERROR(IFERROR(VLOOKUP($C50, [1]SBOM!$F:$G, 2, FALSE), VLOOKUP(VALUE($C50), [1]SBOM!$F:$G, 2, FALSE)), "")</f>
        <v>FlowArt: Dot-By-Letter, Americana</v>
      </c>
      <c r="E50">
        <v>8</v>
      </c>
      <c r="F50">
        <v>6.5</v>
      </c>
    </row>
    <row r="51" spans="1:6">
      <c r="A51" t="s">
        <v>46</v>
      </c>
      <c r="B51">
        <v>6</v>
      </c>
      <c r="C51" s="2" t="s">
        <v>68</v>
      </c>
      <c r="D51" t="str">
        <f>IFERROR(IFERROR(VLOOKUP($C51, [1]SBOM!$F:$G, 2, FALSE), VLOOKUP(VALUE($C51), [1]SBOM!$F:$G, 2, FALSE)), "")</f>
        <v>FlowArt: Dot-By-Letter, Wags &amp; Whiskers</v>
      </c>
      <c r="E51">
        <v>8</v>
      </c>
      <c r="F51">
        <v>6.5</v>
      </c>
    </row>
    <row r="52" spans="1:6">
      <c r="A52" t="s">
        <v>46</v>
      </c>
      <c r="B52">
        <v>7</v>
      </c>
      <c r="C52" s="2" t="s">
        <v>70</v>
      </c>
      <c r="D52" t="str">
        <f>IFERROR(IFERROR(VLOOKUP($C52, [1]SBOM!$F:$G, 2, FALSE), VLOOKUP(VALUE($C52), [1]SBOM!$F:$G, 2, FALSE)), "")</f>
        <v>FlowArt: Color-to-Reveal, Citrus Coastlines</v>
      </c>
      <c r="E52">
        <v>4</v>
      </c>
      <c r="F52">
        <v>6.5</v>
      </c>
    </row>
    <row r="53" spans="1:6">
      <c r="A53" t="s">
        <v>46</v>
      </c>
      <c r="B53">
        <v>8</v>
      </c>
      <c r="C53" s="2" t="s">
        <v>22</v>
      </c>
      <c r="D53" t="str">
        <f>IFERROR(IFERROR(VLOOKUP($C53, [1]SBOM!$F:$G, 2, FALSE), VLOOKUP(VALUE($C53), [1]SBOM!$F:$G, 2, FALSE)), "")</f>
        <v>FlowArt: Color-to-Reveal, Foodie Fun</v>
      </c>
      <c r="E53">
        <v>4</v>
      </c>
      <c r="F53">
        <v>6.5</v>
      </c>
    </row>
    <row r="54" spans="1:6">
      <c r="A54" t="s">
        <v>46</v>
      </c>
      <c r="B54">
        <v>9</v>
      </c>
      <c r="C54" s="2" t="s">
        <v>43</v>
      </c>
      <c r="D54" t="str">
        <f>IFERROR(IFERROR(VLOOKUP($C54, [1]SBOM!$F:$G, 2, FALSE), VLOOKUP(VALUE($C54), [1]SBOM!$F:$G, 2, FALSE)), "")</f>
        <v>FlowArt: Dot-By-Letter, Into the Deep [Metallic ink]</v>
      </c>
      <c r="E54">
        <v>8</v>
      </c>
      <c r="F54">
        <v>6.5</v>
      </c>
    </row>
    <row r="55" spans="1:6">
      <c r="A55" t="s">
        <v>46</v>
      </c>
      <c r="B55">
        <v>10</v>
      </c>
      <c r="C55" s="2" t="s">
        <v>25</v>
      </c>
      <c r="D55" t="str">
        <f>IFERROR(IFERROR(VLOOKUP($C55, [1]SBOM!$F:$G, 2, FALSE), VLOOKUP(VALUE($C55), [1]SBOM!$F:$G, 2, FALSE)), "")</f>
        <v>FlowArt: Color-to-Reveal, Fragrant Blooms</v>
      </c>
      <c r="E55">
        <v>4</v>
      </c>
      <c r="F55">
        <v>6.5</v>
      </c>
    </row>
    <row r="56" spans="1:6">
      <c r="A56" t="s">
        <v>46</v>
      </c>
      <c r="B56">
        <v>11</v>
      </c>
      <c r="C56" s="2" t="s">
        <v>26</v>
      </c>
      <c r="D56" t="str">
        <f>IFERROR(IFERROR(VLOOKUP($C56, [1]SBOM!$F:$G, 2, FALSE), VLOOKUP(VALUE($C56), [1]SBOM!$F:$G, 2, FALSE)), "")</f>
        <v>FlowArt: Trace-By-Line, Tropical Paradise</v>
      </c>
      <c r="E56">
        <v>4</v>
      </c>
      <c r="F56">
        <v>6.5</v>
      </c>
    </row>
    <row r="57" spans="1:6">
      <c r="A57" t="s">
        <v>46</v>
      </c>
      <c r="B57">
        <v>12</v>
      </c>
      <c r="C57" s="2" t="s">
        <v>71</v>
      </c>
      <c r="D57" t="str">
        <f>IFERROR(IFERROR(VLOOKUP($C57, [1]SBOM!$F:$G, 2, FALSE), VLOOKUP(VALUE($C57), [1]SBOM!$F:$G, 2, FALSE)), "")</f>
        <v>FlowArt: Trace-By-Line, Brunch in Bloom</v>
      </c>
      <c r="E57">
        <v>4</v>
      </c>
      <c r="F57">
        <v>6.5</v>
      </c>
    </row>
    <row r="58" spans="1:6">
      <c r="A58" t="s">
        <v>46</v>
      </c>
      <c r="B58">
        <f>B57+1</f>
        <v>13</v>
      </c>
      <c r="C58" s="2" t="s">
        <v>44</v>
      </c>
      <c r="D58" t="str">
        <f>IFERROR(IFERROR(VLOOKUP($C58, [1]SBOM!$F:$G, 2, FALSE), VLOOKUP(VALUE($C58), [1]SBOM!$F:$G, 2, FALSE)), "")</f>
        <v>FlowArt: Trace-By-Groove, Jungle Oasis</v>
      </c>
      <c r="E58">
        <v>4</v>
      </c>
      <c r="F58">
        <v>6.5</v>
      </c>
    </row>
    <row r="59" spans="1:6">
      <c r="A59" t="s">
        <v>46</v>
      </c>
      <c r="B59">
        <f>B58+1</f>
        <v>14</v>
      </c>
      <c r="C59" s="2" t="s">
        <v>27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>
        <v>6.5</v>
      </c>
    </row>
    <row r="60" spans="1:6" s="1" customFormat="1">
      <c r="A60" s="1" t="s">
        <v>46</v>
      </c>
      <c r="B60" s="1">
        <v>13</v>
      </c>
      <c r="C60" s="3" t="s">
        <v>50</v>
      </c>
      <c r="D60" s="1" t="str">
        <f>IFERROR(IFERROR(VLOOKUP($C60, [1]SBOM!$F:$G, 2, FALSE), VLOOKUP(VALUE($C60), [1]SBOM!$F:$G, 2, FALSE)), "")</f>
        <v>FlowArt - Spinner Tower - Empty</v>
      </c>
      <c r="E60" s="1">
        <v>1</v>
      </c>
      <c r="F60" s="1">
        <v>0</v>
      </c>
    </row>
    <row r="61" spans="1:6">
      <c r="A61" t="s">
        <v>51</v>
      </c>
      <c r="B61">
        <v>1</v>
      </c>
      <c r="C61" s="2" t="s">
        <v>52</v>
      </c>
      <c r="D61" t="str">
        <f>IFERROR(IFERROR(VLOOKUP($C61, [1]SBOM!$F:$G, 2, FALSE), VLOOKUP(VALUE($C61), [1]SBOM!$F:$G, 2, FALSE)), "")</f>
        <v>Pen Diffuser with Essential Oil Blends - In Bloom</v>
      </c>
      <c r="E61">
        <v>6</v>
      </c>
      <c r="F61">
        <v>6.5</v>
      </c>
    </row>
    <row r="62" spans="1:6">
      <c r="A62" t="s">
        <v>51</v>
      </c>
      <c r="B62">
        <v>2</v>
      </c>
      <c r="C62" s="2" t="s">
        <v>53</v>
      </c>
      <c r="D62" t="str">
        <f>IFERROR(IFERROR(VLOOKUP($C62, [1]SBOM!$F:$G, 2, FALSE), VLOOKUP(VALUE($C62), [1]SBOM!$F:$G, 2, FALSE)), "")</f>
        <v>Pen Diffuser with  Essential Oil Blends - Citrus Grove</v>
      </c>
      <c r="E62">
        <v>6</v>
      </c>
      <c r="F62">
        <v>6.5</v>
      </c>
    </row>
    <row r="63" spans="1:6">
      <c r="A63" t="s">
        <v>51</v>
      </c>
      <c r="B63">
        <v>3</v>
      </c>
      <c r="C63" s="2" t="s">
        <v>54</v>
      </c>
      <c r="D63" t="str">
        <f>IFERROR(IFERROR(VLOOKUP($C63, [1]SBOM!$F:$G, 2, FALSE), VLOOKUP(VALUE($C63), [1]SBOM!$F:$G, 2, FALSE)), "")</f>
        <v xml:space="preserve">Scented Lava Pen Set - 2-pack (Blue / Green) </v>
      </c>
      <c r="E63">
        <v>4</v>
      </c>
      <c r="F63">
        <v>6.5</v>
      </c>
    </row>
    <row r="64" spans="1:6">
      <c r="A64" t="s">
        <v>51</v>
      </c>
      <c r="B64">
        <v>4</v>
      </c>
      <c r="C64" s="2" t="s">
        <v>55</v>
      </c>
      <c r="D64" t="str">
        <f>IFERROR(IFERROR(VLOOKUP($C64, [1]SBOM!$F:$G, 2, FALSE), VLOOKUP(VALUE($C64), [1]SBOM!$F:$G, 2, FALSE)), "")</f>
        <v>Scented Lava Pen Set- 5-pack (Brights)</v>
      </c>
      <c r="E64">
        <v>4</v>
      </c>
      <c r="F64">
        <v>10</v>
      </c>
    </row>
    <row r="65" spans="1:6">
      <c r="A65" t="s">
        <v>51</v>
      </c>
      <c r="B65">
        <v>5</v>
      </c>
      <c r="C65" s="2" t="s">
        <v>56</v>
      </c>
      <c r="D65" t="str">
        <f>IFERROR(IFERROR(VLOOKUP($C65, [1]SBOM!$F:$G, 2, FALSE), VLOOKUP(VALUE($C65), [1]SBOM!$F:$G, 2, FALSE)), "")</f>
        <v>Rub &amp; Sniff™ Scented Colored Pencils - 10-pack (Classic Palette)</v>
      </c>
      <c r="E65">
        <v>4</v>
      </c>
      <c r="F65">
        <v>6.5</v>
      </c>
    </row>
    <row r="66" spans="1:6">
      <c r="A66" t="s">
        <v>51</v>
      </c>
      <c r="B66">
        <v>6</v>
      </c>
      <c r="C66" s="2" t="s">
        <v>57</v>
      </c>
      <c r="D66" t="str">
        <f>IFERROR(IFERROR(VLOOKUP($C66, [1]SBOM!$F:$G, 2, FALSE), VLOOKUP(VALUE($C66), [1]SBOM!$F:$G, 2, FALSE)), "")</f>
        <v>Pen Diffuser with Essential Oil Blends -  Spiced Chai Latte</v>
      </c>
      <c r="E66">
        <v>4</v>
      </c>
      <c r="F66">
        <v>6.5</v>
      </c>
    </row>
    <row r="67" spans="1:6">
      <c r="A67" t="s">
        <v>51</v>
      </c>
      <c r="B67">
        <v>7</v>
      </c>
      <c r="C67" s="2" t="s">
        <v>58</v>
      </c>
      <c r="D67" t="str">
        <f>IFERROR(IFERROR(VLOOKUP($C67, [1]SBOM!$F:$G, 2, FALSE), VLOOKUP(VALUE($C67), [1]SBOM!$F:$G, 2, FALSE)), "")</f>
        <v xml:space="preserve">Scented Lava Pen Set- 5-pack </v>
      </c>
      <c r="E67">
        <v>4</v>
      </c>
      <c r="F67">
        <v>10</v>
      </c>
    </row>
    <row r="68" spans="1:6">
      <c r="A68" t="s">
        <v>51</v>
      </c>
      <c r="B68">
        <v>8</v>
      </c>
      <c r="C68" s="2" t="s">
        <v>59</v>
      </c>
      <c r="D68" t="str">
        <f>IFERROR(IFERROR(VLOOKUP($C68, [1]SBOM!$F:$G, 2, FALSE), VLOOKUP(VALUE($C68), [1]SBOM!$F:$G, 2, FALSE)), "")</f>
        <v>Pen Diffuser with Essential Oil Blends -  Strawberry Milkshake</v>
      </c>
      <c r="E68">
        <v>4</v>
      </c>
      <c r="F68">
        <v>6.5</v>
      </c>
    </row>
    <row r="69" spans="1:6">
      <c r="A69" t="s">
        <v>51</v>
      </c>
      <c r="B69">
        <v>9</v>
      </c>
      <c r="C69" s="2" t="s">
        <v>60</v>
      </c>
      <c r="D69" t="str">
        <f>IFERROR(IFERROR(VLOOKUP($C69, [1]SBOM!$F:$G, 2, FALSE), VLOOKUP(VALUE($C69), [1]SBOM!$F:$G, 2, FALSE)), "")</f>
        <v xml:space="preserve">Scented Lava Pen Set - 2-pack (Pink / Purple) </v>
      </c>
      <c r="E69">
        <v>4</v>
      </c>
      <c r="F69">
        <v>6.5</v>
      </c>
    </row>
    <row r="70" spans="1:6">
      <c r="A70" t="s">
        <v>51</v>
      </c>
      <c r="B70">
        <v>10</v>
      </c>
      <c r="C70" s="2" t="s">
        <v>61</v>
      </c>
      <c r="D70" t="str">
        <f>IFERROR(IFERROR(VLOOKUP($C70, [1]SBOM!$F:$G, 2, FALSE), VLOOKUP(VALUE($C70), [1]SBOM!$F:$G, 2, FALSE)), "")</f>
        <v>Scented Marker 10 Colors</v>
      </c>
      <c r="E70">
        <v>4</v>
      </c>
      <c r="F70">
        <v>6.5</v>
      </c>
    </row>
    <row r="71" spans="1:6">
      <c r="A71" t="s">
        <v>51</v>
      </c>
      <c r="B71">
        <v>11</v>
      </c>
      <c r="C71" s="2" t="s">
        <v>91</v>
      </c>
      <c r="D71" t="str">
        <f>IFERROR(IFERROR(VLOOKUP($C71, [1]SBOM!$F:$G, 2, FALSE), VLOOKUP(VALUE($C71), [1]SBOM!$F:$G, 2, FALSE)), "")</f>
        <v>Visual Symphony Pen, Glitter 5Pck</v>
      </c>
      <c r="E71">
        <v>8</v>
      </c>
      <c r="F71">
        <v>6.5</v>
      </c>
    </row>
    <row r="72" spans="1:6">
      <c r="A72" t="s">
        <v>51</v>
      </c>
      <c r="B72">
        <v>12</v>
      </c>
      <c r="C72" s="2" t="s">
        <v>92</v>
      </c>
      <c r="D72" t="str">
        <f>IFERROR(IFERROR(VLOOKUP($C72, [1]SBOM!$F:$G, 2, FALSE), VLOOKUP(VALUE($C72), [1]SBOM!$F:$G, 2, FALSE)), "")</f>
        <v>Visual Symphony Pen, Swirl 5Pck</v>
      </c>
      <c r="E72">
        <v>8</v>
      </c>
      <c r="F72">
        <v>6.5</v>
      </c>
    </row>
    <row r="73" spans="1:6" s="1" customFormat="1">
      <c r="A73" s="1" t="s">
        <v>51</v>
      </c>
      <c r="B73" s="1">
        <v>13</v>
      </c>
      <c r="C73" s="3" t="s">
        <v>45</v>
      </c>
      <c r="D73" s="1" t="str">
        <f>IFERROR(IFERROR(VLOOKUP($C73, [1]SBOM!$F:$G, 2, FALSE), VLOOKUP(VALUE($C73), [1]SBOM!$F:$G, 2, FALSE)), "")</f>
        <v>UNIVERSAL COUNTER DISPLAY - EMPTY</v>
      </c>
      <c r="E73" s="1">
        <v>1</v>
      </c>
      <c r="F73" s="1">
        <v>0</v>
      </c>
    </row>
    <row r="74" spans="1:6">
      <c r="A74" t="s">
        <v>62</v>
      </c>
      <c r="B74">
        <v>1</v>
      </c>
      <c r="C74" s="2" t="s">
        <v>52</v>
      </c>
      <c r="D74" t="str">
        <f>IFERROR(IFERROR(VLOOKUP($C74, [1]SBOM!$F:$G, 2, FALSE), VLOOKUP(VALUE($C74), [1]SBOM!$F:$G, 2, FALSE)), "")</f>
        <v>Pen Diffuser with Essential Oil Blends - In Bloom</v>
      </c>
      <c r="E74">
        <v>6</v>
      </c>
      <c r="F74">
        <v>6.5</v>
      </c>
    </row>
    <row r="75" spans="1:6">
      <c r="A75" t="s">
        <v>62</v>
      </c>
      <c r="B75">
        <v>2</v>
      </c>
      <c r="C75" s="2" t="s">
        <v>63</v>
      </c>
      <c r="D75" t="str">
        <f>IFERROR(IFERROR(VLOOKUP($C75, [1]SBOM!$F:$G, 2, FALSE), VLOOKUP(VALUE($C75), [1]SBOM!$F:$G, 2, FALSE)), "")</f>
        <v>Pen Diffuser with Essential Oil Blend- Crisp Mountain Air</v>
      </c>
      <c r="E75">
        <v>6</v>
      </c>
      <c r="F75">
        <v>6.5</v>
      </c>
    </row>
    <row r="76" spans="1:6">
      <c r="A76" t="s">
        <v>62</v>
      </c>
      <c r="B76">
        <v>3</v>
      </c>
      <c r="C76" s="2" t="s">
        <v>57</v>
      </c>
      <c r="D76" t="str">
        <f>IFERROR(IFERROR(VLOOKUP($C76, [1]SBOM!$F:$G, 2, FALSE), VLOOKUP(VALUE($C76), [1]SBOM!$F:$G, 2, FALSE)), "")</f>
        <v>Pen Diffuser with Essential Oil Blends -  Spiced Chai Latte</v>
      </c>
      <c r="E76">
        <v>4</v>
      </c>
      <c r="F76">
        <v>6.5</v>
      </c>
    </row>
    <row r="77" spans="1:6">
      <c r="A77" t="s">
        <v>62</v>
      </c>
      <c r="B77">
        <v>4</v>
      </c>
      <c r="C77" s="2" t="s">
        <v>59</v>
      </c>
      <c r="D77" t="str">
        <f>IFERROR(IFERROR(VLOOKUP($C77, [1]SBOM!$F:$G, 2, FALSE), VLOOKUP(VALUE($C77), [1]SBOM!$F:$G, 2, FALSE)), "")</f>
        <v>Pen Diffuser with Essential Oil Blends -  Strawberry Milkshake</v>
      </c>
      <c r="E77">
        <v>8</v>
      </c>
      <c r="F77">
        <v>6.5</v>
      </c>
    </row>
    <row r="78" spans="1:6">
      <c r="A78" t="s">
        <v>62</v>
      </c>
      <c r="B78">
        <v>5</v>
      </c>
      <c r="C78" s="2" t="s">
        <v>64</v>
      </c>
      <c r="D78" t="str">
        <f>IFERROR(IFERROR(VLOOKUP($C78, [1]SBOM!$F:$G, 2, FALSE), VLOOKUP(VALUE($C78), [1]SBOM!$F:$G, 2, FALSE)), "")</f>
        <v>Pen Diffuser with Essential Oil Blends -  Cotton Candy</v>
      </c>
      <c r="E78">
        <v>8</v>
      </c>
      <c r="F78">
        <v>6.5</v>
      </c>
    </row>
    <row r="79" spans="1:6" s="1" customFormat="1">
      <c r="A79" s="1" t="s">
        <v>62</v>
      </c>
      <c r="B79" s="1">
        <v>6</v>
      </c>
      <c r="C79" s="3" t="s">
        <v>45</v>
      </c>
      <c r="D79" s="1" t="str">
        <f>IFERROR(IFERROR(VLOOKUP($C79, [1]SBOM!$F:$G, 2, FALSE), VLOOKUP(VALUE($C79), [1]SBOM!$F:$G, 2, FALSE)), "")</f>
        <v>UNIVERSAL COUNTER DISPLAY - EMPTY</v>
      </c>
      <c r="E79" s="1">
        <v>1</v>
      </c>
      <c r="F79" s="1">
        <v>0</v>
      </c>
    </row>
    <row r="80" spans="1:6">
      <c r="A80" t="s">
        <v>65</v>
      </c>
      <c r="B80">
        <v>1</v>
      </c>
      <c r="C80" s="2">
        <v>165005</v>
      </c>
      <c r="D80" t="str">
        <f>IFERROR(IFERROR(VLOOKUP($C80, [1]SBOM!$F:$G, 2, FALSE), VLOOKUP(VALUE($C80), [1]SBOM!$F:$G, 2, FALSE)), "")</f>
        <v>FlowArt: Dot-By-Letter, Botanicals</v>
      </c>
      <c r="E80">
        <v>8</v>
      </c>
      <c r="F80">
        <v>5</v>
      </c>
    </row>
    <row r="81" spans="1:6">
      <c r="A81" t="s">
        <v>65</v>
      </c>
      <c r="B81">
        <f>B80+1</f>
        <v>2</v>
      </c>
      <c r="C81" s="2" t="s">
        <v>42</v>
      </c>
      <c r="D81" t="str">
        <f>IFERROR(IFERROR(VLOOKUP($C81, [1]SBOM!$F:$G, 2, FALSE), VLOOKUP(VALUE($C81), [1]SBOM!$F:$G, 2, FALSE)), "")</f>
        <v>FlowArt: Dot-By-Letter, Into the Galaxy [Metallic ink]</v>
      </c>
      <c r="E81">
        <v>12</v>
      </c>
      <c r="F81">
        <v>5</v>
      </c>
    </row>
    <row r="82" spans="1:6">
      <c r="A82" t="s">
        <v>65</v>
      </c>
      <c r="B82">
        <f t="shared" ref="B82:B100" si="0">B81+1</f>
        <v>3</v>
      </c>
      <c r="C82" s="2">
        <v>165008</v>
      </c>
      <c r="D82" t="str">
        <f>IFERROR(IFERROR(VLOOKUP($C82, [1]SBOM!$F:$G, 2, FALSE), VLOOKUP(VALUE($C82), [1]SBOM!$F:$G, 2, FALSE)), "")</f>
        <v>FlowArt: Dot-By-Letter, Landscapes</v>
      </c>
      <c r="E82">
        <v>8</v>
      </c>
      <c r="F82">
        <v>5</v>
      </c>
    </row>
    <row r="83" spans="1:6">
      <c r="A83" t="s">
        <v>65</v>
      </c>
      <c r="B83">
        <f t="shared" si="0"/>
        <v>4</v>
      </c>
      <c r="C83" s="2" t="s">
        <v>24</v>
      </c>
      <c r="D83" t="str">
        <f>IFERROR(IFERROR(VLOOKUP($C83, [1]SBOM!$F:$G, 2, FALSE), VLOOKUP(VALUE($C83), [1]SBOM!$F:$G, 2, FALSE)), "")</f>
        <v>FlowArt: Stamp by Shape, Secret Garden</v>
      </c>
      <c r="E83">
        <v>4</v>
      </c>
      <c r="F83">
        <v>5</v>
      </c>
    </row>
    <row r="84" spans="1:6">
      <c r="A84" t="s">
        <v>65</v>
      </c>
      <c r="B84">
        <f t="shared" si="0"/>
        <v>5</v>
      </c>
      <c r="C84" s="2" t="s">
        <v>68</v>
      </c>
      <c r="D84" t="str">
        <f>IFERROR(IFERROR(VLOOKUP($C84, [1]SBOM!$F:$G, 2, FALSE), VLOOKUP(VALUE($C84), [1]SBOM!$F:$G, 2, FALSE)), "")</f>
        <v>FlowArt: Dot-By-Letter, Wags &amp; Whiskers</v>
      </c>
      <c r="E84">
        <v>12</v>
      </c>
      <c r="F84">
        <v>5</v>
      </c>
    </row>
    <row r="85" spans="1:6">
      <c r="A85" t="s">
        <v>65</v>
      </c>
      <c r="B85">
        <f t="shared" si="0"/>
        <v>6</v>
      </c>
      <c r="C85" s="2" t="s">
        <v>49</v>
      </c>
      <c r="D85" t="str">
        <f>IFERROR(IFERROR(VLOOKUP($C85, [1]SBOM!$F:$G, 2, FALSE), VLOOKUP(VALUE($C85), [1]SBOM!$F:$G, 2, FALSE)), "")</f>
        <v>FlowArt: Trace-To-Doodle, Style Your Space</v>
      </c>
      <c r="E85">
        <v>4</v>
      </c>
      <c r="F85">
        <v>5</v>
      </c>
    </row>
    <row r="86" spans="1:6">
      <c r="A86" t="s">
        <v>65</v>
      </c>
      <c r="B86">
        <f t="shared" si="0"/>
        <v>7</v>
      </c>
      <c r="C86" s="2" t="s">
        <v>43</v>
      </c>
      <c r="D86" t="str">
        <f>IFERROR(IFERROR(VLOOKUP($C86, [1]SBOM!$F:$G, 2, FALSE), VLOOKUP(VALUE($C86), [1]SBOM!$F:$G, 2, FALSE)), "")</f>
        <v>FlowArt: Dot-By-Letter, Into the Deep [Metallic ink]</v>
      </c>
      <c r="E86">
        <v>12</v>
      </c>
      <c r="F86">
        <v>5</v>
      </c>
    </row>
    <row r="87" spans="1:6">
      <c r="A87" t="s">
        <v>65</v>
      </c>
      <c r="B87">
        <f t="shared" si="0"/>
        <v>8</v>
      </c>
      <c r="C87" s="2" t="s">
        <v>26</v>
      </c>
      <c r="D87" t="str">
        <f>IFERROR(IFERROR(VLOOKUP($C87, [1]SBOM!$F:$G, 2, FALSE), VLOOKUP(VALUE($C87), [1]SBOM!$F:$G, 2, FALSE)), "")</f>
        <v>FlowArt: Trace-By-Line, Tropical Paradise</v>
      </c>
      <c r="E87">
        <v>12</v>
      </c>
      <c r="F87">
        <v>5</v>
      </c>
    </row>
    <row r="88" spans="1:6">
      <c r="A88" t="s">
        <v>65</v>
      </c>
      <c r="B88">
        <f t="shared" si="0"/>
        <v>9</v>
      </c>
      <c r="C88" s="2" t="s">
        <v>25</v>
      </c>
      <c r="D88" t="str">
        <f>IFERROR(IFERROR(VLOOKUP($C88, [1]SBOM!$F:$G, 2, FALSE), VLOOKUP(VALUE($C88), [1]SBOM!$F:$G, 2, FALSE)), "")</f>
        <v>FlowArt: Color-to-Reveal, Fragrant Blooms</v>
      </c>
      <c r="E88">
        <v>8</v>
      </c>
      <c r="F88">
        <v>5</v>
      </c>
    </row>
    <row r="89" spans="1:6">
      <c r="A89" t="s">
        <v>65</v>
      </c>
      <c r="B89">
        <f t="shared" si="0"/>
        <v>10</v>
      </c>
      <c r="C89" s="2" t="s">
        <v>72</v>
      </c>
      <c r="D89" t="str">
        <f>IFERROR(IFERROR(VLOOKUP($C89, [1]SBOM!$F:$G, 2, FALSE), VLOOKUP(VALUE($C89), [1]SBOM!$F:$G, 2, FALSE)), "")</f>
        <v>FlowArt: Trace Within, Peaceful Pause</v>
      </c>
      <c r="E89">
        <v>4</v>
      </c>
      <c r="F89">
        <v>5</v>
      </c>
    </row>
    <row r="90" spans="1:6">
      <c r="A90" t="s">
        <v>65</v>
      </c>
      <c r="B90">
        <f t="shared" si="0"/>
        <v>11</v>
      </c>
      <c r="C90" s="2" t="s">
        <v>69</v>
      </c>
      <c r="D90" t="str">
        <f>IFERROR(IFERROR(VLOOKUP($C90, [1]SBOM!$F:$G, 2, FALSE), VLOOKUP(VALUE($C90), [1]SBOM!$F:$G, 2, FALSE)), "")</f>
        <v>FlowArt: Dot-By-Letter, Americana</v>
      </c>
      <c r="E90">
        <v>8</v>
      </c>
      <c r="F90">
        <v>5</v>
      </c>
    </row>
    <row r="91" spans="1:6">
      <c r="A91" t="s">
        <v>65</v>
      </c>
      <c r="B91">
        <f t="shared" si="0"/>
        <v>12</v>
      </c>
      <c r="C91" s="2" t="s">
        <v>27</v>
      </c>
      <c r="D91" t="str">
        <f>IFERROR(IFERROR(VLOOKUP($C91, [1]SBOM!$F:$G, 2, FALSE), VLOOKUP(VALUE($C91), [1]SBOM!$F:$G, 2, FALSE)), "")</f>
        <v>FlowArt: Dot-By-Letter, Day at the Beach</v>
      </c>
      <c r="E91">
        <v>12</v>
      </c>
      <c r="F91">
        <v>5</v>
      </c>
    </row>
    <row r="92" spans="1:6">
      <c r="A92" t="s">
        <v>65</v>
      </c>
      <c r="B92">
        <f t="shared" si="0"/>
        <v>13</v>
      </c>
      <c r="C92" s="2" t="s">
        <v>28</v>
      </c>
      <c r="D92" t="str">
        <f>IFERROR(IFERROR(VLOOKUP($C92, [1]SBOM!$F:$G, 2, FALSE), VLOOKUP(VALUE($C92), [1]SBOM!$F:$G, 2, FALSE)), "")</f>
        <v>FlowArt: Trace-By-Letter, Pack Your Bags</v>
      </c>
      <c r="E92">
        <v>4</v>
      </c>
      <c r="F92">
        <v>5</v>
      </c>
    </row>
    <row r="93" spans="1:6">
      <c r="A93" t="s">
        <v>65</v>
      </c>
      <c r="B93">
        <f t="shared" si="0"/>
        <v>14</v>
      </c>
      <c r="C93" s="2" t="s">
        <v>70</v>
      </c>
      <c r="D93" t="str">
        <f>IFERROR(IFERROR(VLOOKUP($C93, [1]SBOM!$F:$G, 2, FALSE), VLOOKUP(VALUE($C93), [1]SBOM!$F:$G, 2, FALSE)), "")</f>
        <v>FlowArt: Color-to-Reveal, Citrus Coastlines</v>
      </c>
      <c r="E93">
        <v>4</v>
      </c>
      <c r="F93">
        <v>5</v>
      </c>
    </row>
    <row r="94" spans="1:6">
      <c r="A94" t="s">
        <v>65</v>
      </c>
      <c r="B94">
        <f t="shared" si="0"/>
        <v>15</v>
      </c>
      <c r="C94" s="2" t="s">
        <v>44</v>
      </c>
      <c r="D94" t="str">
        <f>IFERROR(IFERROR(VLOOKUP($C94, [1]SBOM!$F:$G, 2, FALSE), VLOOKUP(VALUE($C94), [1]SBOM!$F:$G, 2, FALSE)), "")</f>
        <v>FlowArt: Trace-By-Groove, Jungle Oasis</v>
      </c>
      <c r="E94">
        <v>4</v>
      </c>
      <c r="F94">
        <v>5</v>
      </c>
    </row>
    <row r="95" spans="1:6">
      <c r="A95" t="s">
        <v>65</v>
      </c>
      <c r="B95">
        <f t="shared" si="0"/>
        <v>16</v>
      </c>
      <c r="C95" s="2" t="s">
        <v>71</v>
      </c>
      <c r="D95" t="str">
        <f>IFERROR(IFERROR(VLOOKUP($C95, [1]SBOM!$F:$G, 2, FALSE), VLOOKUP(VALUE($C95), [1]SBOM!$F:$G, 2, FALSE)), "")</f>
        <v>FlowArt: Trace-By-Line, Brunch in Bloom</v>
      </c>
      <c r="E95">
        <v>12</v>
      </c>
      <c r="F95">
        <v>5</v>
      </c>
    </row>
    <row r="96" spans="1:6">
      <c r="A96" t="s">
        <v>65</v>
      </c>
      <c r="B96">
        <f t="shared" si="0"/>
        <v>17</v>
      </c>
      <c r="C96" s="2" t="s">
        <v>23</v>
      </c>
      <c r="D96" t="str">
        <f>IFERROR(IFERROR(VLOOKUP($C96, [1]SBOM!$F:$G, 2, FALSE), VLOOKUP(VALUE($C96), [1]SBOM!$F:$G, 2, FALSE)), "")</f>
        <v>FlowArt: Trace-By-Line, Woodland Whimsy</v>
      </c>
      <c r="E96">
        <v>8</v>
      </c>
      <c r="F96">
        <v>5</v>
      </c>
    </row>
    <row r="97" spans="1:6">
      <c r="A97" t="s">
        <v>65</v>
      </c>
      <c r="B97">
        <f t="shared" si="0"/>
        <v>18</v>
      </c>
      <c r="C97" s="2" t="s">
        <v>86</v>
      </c>
      <c r="D97" t="str">
        <f>IFERROR(IFERROR(VLOOKUP($C97, [1]SBOM!$F:$G, 2, FALSE), VLOOKUP(VALUE($C97), [1]SBOM!$F:$G, 2, FALSE)), "")</f>
        <v>FlowArt: Dot-By-Letter, Everyday Inspiration</v>
      </c>
      <c r="E97">
        <v>8</v>
      </c>
      <c r="F97">
        <v>5</v>
      </c>
    </row>
    <row r="98" spans="1:6">
      <c r="A98" t="s">
        <v>65</v>
      </c>
      <c r="B98">
        <f t="shared" si="0"/>
        <v>19</v>
      </c>
      <c r="C98" s="2" t="s">
        <v>21</v>
      </c>
      <c r="D98" t="str">
        <f>IFERROR(IFERROR(VLOOKUP($C98, [1]SBOM!$F:$G, 2, FALSE), VLOOKUP(VALUE($C98), [1]SBOM!$F:$G, 2, FALSE)), "")</f>
        <v>FlowArt: Dot-By-Letter, Cozy Cottage</v>
      </c>
      <c r="E98">
        <v>12</v>
      </c>
      <c r="F98">
        <v>5</v>
      </c>
    </row>
    <row r="99" spans="1:6">
      <c r="A99" t="s">
        <v>65</v>
      </c>
      <c r="B99">
        <f t="shared" si="0"/>
        <v>20</v>
      </c>
      <c r="C99" s="2" t="s">
        <v>22</v>
      </c>
      <c r="D99" t="str">
        <f>IFERROR(IFERROR(VLOOKUP($C99, [1]SBOM!$F:$G, 2, FALSE), VLOOKUP(VALUE($C99), [1]SBOM!$F:$G, 2, FALSE)), "")</f>
        <v>FlowArt: Color-to-Reveal, Foodie Fun</v>
      </c>
      <c r="E99">
        <v>4</v>
      </c>
      <c r="F99">
        <v>5</v>
      </c>
    </row>
    <row r="100" spans="1:6" s="1" customFormat="1">
      <c r="A100" s="1" t="s">
        <v>65</v>
      </c>
      <c r="B100" s="1">
        <f t="shared" si="0"/>
        <v>21</v>
      </c>
      <c r="C100" s="3" t="s">
        <v>50</v>
      </c>
      <c r="D100" s="1" t="str">
        <f>IFERROR(IFERROR(VLOOKUP($C100, [1]SBOM!$F:$G, 2, FALSE), VLOOKUP(VALUE($C100), [1]SBOM!$F:$G, 2, FALSE)), "")</f>
        <v>FlowArt - Spinner Tower - Empty</v>
      </c>
      <c r="E100" s="1">
        <v>1</v>
      </c>
      <c r="F100" s="1">
        <v>0</v>
      </c>
    </row>
    <row r="101" spans="1:6">
      <c r="A101" t="s">
        <v>73</v>
      </c>
      <c r="B101">
        <v>1</v>
      </c>
      <c r="C101" s="2" t="s">
        <v>42</v>
      </c>
      <c r="D101" t="str">
        <f>IFERROR(IFERROR(VLOOKUP($C101, [1]SBOM!$F:$G, 2, FALSE), VLOOKUP(VALUE($C101), [1]SBOM!$F:$G, 2, FALSE)), "")</f>
        <v>FlowArt: Dot-By-Letter, Into the Galaxy [Metallic ink]</v>
      </c>
      <c r="E101">
        <v>8</v>
      </c>
      <c r="F101">
        <v>6.5</v>
      </c>
    </row>
    <row r="102" spans="1:6">
      <c r="A102" t="s">
        <v>73</v>
      </c>
      <c r="B102">
        <v>2</v>
      </c>
      <c r="C102" s="2" t="s">
        <v>43</v>
      </c>
      <c r="D102" t="str">
        <f>IFERROR(IFERROR(VLOOKUP($C102, [1]SBOM!$F:$G, 2, FALSE), VLOOKUP(VALUE($C102), [1]SBOM!$F:$G, 2, FALSE)), "")</f>
        <v>FlowArt: Dot-By-Letter, Into the Deep [Metallic ink]</v>
      </c>
      <c r="E102">
        <v>8</v>
      </c>
      <c r="F102">
        <v>6.5</v>
      </c>
    </row>
    <row r="103" spans="1:6">
      <c r="A103" t="s">
        <v>73</v>
      </c>
      <c r="B103">
        <v>3</v>
      </c>
      <c r="C103" s="2" t="s">
        <v>21</v>
      </c>
      <c r="D103" t="str">
        <f>IFERROR(IFERROR(VLOOKUP($C103, [1]SBOM!$F:$G, 2, FALSE), VLOOKUP(VALUE($C103), [1]SBOM!$F:$G, 2, FALSE)), "")</f>
        <v>FlowArt: Dot-By-Letter, Cozy Cottage</v>
      </c>
      <c r="E103">
        <v>4</v>
      </c>
      <c r="F103">
        <v>6.5</v>
      </c>
    </row>
    <row r="104" spans="1:6">
      <c r="A104" t="s">
        <v>73</v>
      </c>
      <c r="B104">
        <v>4</v>
      </c>
      <c r="C104" s="2">
        <v>165005</v>
      </c>
      <c r="D104" t="str">
        <f>IFERROR(IFERROR(VLOOKUP($C104, [1]SBOM!$F:$G, 2, FALSE), VLOOKUP(VALUE($C104), [1]SBOM!$F:$G, 2, FALSE)), "")</f>
        <v>FlowArt: Dot-By-Letter, Botanicals</v>
      </c>
      <c r="E104">
        <v>4</v>
      </c>
      <c r="F104">
        <v>6.5</v>
      </c>
    </row>
    <row r="105" spans="1:6">
      <c r="A105" t="s">
        <v>73</v>
      </c>
      <c r="B105">
        <v>5</v>
      </c>
      <c r="C105" s="2">
        <v>165008</v>
      </c>
      <c r="D105" t="str">
        <f>IFERROR(IFERROR(VLOOKUP($C105, [1]SBOM!$F:$G, 2, FALSE), VLOOKUP(VALUE($C105), [1]SBOM!$F:$G, 2, FALSE)), "")</f>
        <v>FlowArt: Dot-By-Letter, Landscapes</v>
      </c>
      <c r="E105">
        <v>4</v>
      </c>
      <c r="F105">
        <v>6.5</v>
      </c>
    </row>
    <row r="106" spans="1:6">
      <c r="A106" t="s">
        <v>73</v>
      </c>
      <c r="B106">
        <v>6</v>
      </c>
      <c r="C106" s="2" t="s">
        <v>71</v>
      </c>
      <c r="D106" t="str">
        <f>IFERROR(IFERROR(VLOOKUP($C106, [1]SBOM!$F:$G, 2, FALSE), VLOOKUP(VALUE($C106), [1]SBOM!$F:$G, 2, FALSE)), "")</f>
        <v>FlowArt: Trace-By-Line, Brunch in Bloom</v>
      </c>
      <c r="E106">
        <v>4</v>
      </c>
      <c r="F106">
        <v>6.5</v>
      </c>
    </row>
    <row r="107" spans="1:6">
      <c r="A107" t="s">
        <v>73</v>
      </c>
      <c r="B107">
        <v>7</v>
      </c>
      <c r="C107" s="2" t="s">
        <v>69</v>
      </c>
      <c r="D107" t="str">
        <f>IFERROR(IFERROR(VLOOKUP($C107, [1]SBOM!$F:$G, 2, FALSE), VLOOKUP(VALUE($C107), [1]SBOM!$F:$G, 2, FALSE)), "")</f>
        <v>FlowArt: Dot-By-Letter, Americana</v>
      </c>
      <c r="E107">
        <v>4</v>
      </c>
      <c r="F107">
        <v>6.5</v>
      </c>
    </row>
    <row r="108" spans="1:6">
      <c r="A108" t="s">
        <v>73</v>
      </c>
      <c r="B108">
        <v>8</v>
      </c>
      <c r="C108" s="2" t="s">
        <v>68</v>
      </c>
      <c r="D108" t="str">
        <f>IFERROR(IFERROR(VLOOKUP($C108, [1]SBOM!$F:$G, 2, FALSE), VLOOKUP(VALUE($C108), [1]SBOM!$F:$G, 2, FALSE)), "")</f>
        <v>FlowArt: Dot-By-Letter, Wags &amp; Whiskers</v>
      </c>
      <c r="E108">
        <v>8</v>
      </c>
      <c r="F108">
        <v>6.5</v>
      </c>
    </row>
    <row r="109" spans="1:6">
      <c r="A109" t="s">
        <v>73</v>
      </c>
      <c r="B109">
        <v>9</v>
      </c>
      <c r="C109" s="2" t="s">
        <v>27</v>
      </c>
      <c r="D109" t="str">
        <f>IFERROR(IFERROR(VLOOKUP($C109, [1]SBOM!$F:$G, 2, FALSE), VLOOKUP(VALUE($C109), [1]SBOM!$F:$G, 2, FALSE)), "")</f>
        <v>FlowArt: Dot-By-Letter, Day at the Beach</v>
      </c>
      <c r="E109">
        <v>8</v>
      </c>
      <c r="F109">
        <v>6.5</v>
      </c>
    </row>
    <row r="110" spans="1:6">
      <c r="A110" t="s">
        <v>73</v>
      </c>
      <c r="B110">
        <v>10</v>
      </c>
      <c r="C110" s="2" t="s">
        <v>25</v>
      </c>
      <c r="D110" t="str">
        <f>IFERROR(IFERROR(VLOOKUP($C110, [1]SBOM!$F:$G, 2, FALSE), VLOOKUP(VALUE($C110), [1]SBOM!$F:$G, 2, FALSE)), "")</f>
        <v>FlowArt: Color-to-Reveal, Fragrant Blooms</v>
      </c>
      <c r="E110">
        <v>4</v>
      </c>
      <c r="F110">
        <v>6.5</v>
      </c>
    </row>
    <row r="111" spans="1:6" s="1" customFormat="1">
      <c r="A111" s="1" t="s">
        <v>73</v>
      </c>
      <c r="B111" s="1">
        <v>11</v>
      </c>
      <c r="C111" s="3" t="s">
        <v>44</v>
      </c>
      <c r="D111" s="1" t="str">
        <f>IFERROR(IFERROR(VLOOKUP($C111, [1]SBOM!$F:$G, 2, FALSE), VLOOKUP(VALUE($C111), [1]SBOM!$F:$G, 2, FALSE)), "")</f>
        <v>FlowArt: Trace-By-Groove, Jungle Oasis</v>
      </c>
      <c r="E111" s="1">
        <v>4</v>
      </c>
      <c r="F111" s="1">
        <v>6.5</v>
      </c>
    </row>
    <row r="112" spans="1:6">
      <c r="A112" t="s">
        <v>74</v>
      </c>
      <c r="B112">
        <v>1</v>
      </c>
      <c r="C112" s="2" t="s">
        <v>8</v>
      </c>
      <c r="D112" t="str">
        <f>IFERROR(IFERROR(VLOOKUP($C112, [1]SBOM!$F:$G, 2, FALSE), VLOOKUP(VALUE($C112), [1]SBOM!$F:$G, 2, FALSE)), "")</f>
        <v>FlowArt: Mini Single - Pocket Positivity</v>
      </c>
      <c r="E112">
        <v>6</v>
      </c>
      <c r="F112">
        <v>3.5</v>
      </c>
    </row>
    <row r="113" spans="1:6">
      <c r="A113" t="s">
        <v>74</v>
      </c>
      <c r="B113">
        <v>2</v>
      </c>
      <c r="C113" s="2" t="s">
        <v>9</v>
      </c>
      <c r="D113" t="str">
        <f>IFERROR(IFERROR(VLOOKUP($C113, [1]SBOM!$F:$G, 2, FALSE), VLOOKUP(VALUE($C113), [1]SBOM!$F:$G, 2, FALSE)), "")</f>
        <v>FlowArt: Mini Single - Café Comforts</v>
      </c>
      <c r="E113">
        <v>6</v>
      </c>
      <c r="F113">
        <v>3.5</v>
      </c>
    </row>
    <row r="114" spans="1:6">
      <c r="A114" t="s">
        <v>74</v>
      </c>
      <c r="B114">
        <v>3</v>
      </c>
      <c r="C114" s="2" t="s">
        <v>10</v>
      </c>
      <c r="D114" t="str">
        <f>IFERROR(IFERROR(VLOOKUP($C114, [1]SBOM!$F:$G, 2, FALSE), VLOOKUP(VALUE($C114), [1]SBOM!$F:$G, 2, FALSE)), "")</f>
        <v>FlowArt: Mini Single - Enchanted Magic</v>
      </c>
      <c r="E114">
        <v>6</v>
      </c>
      <c r="F114">
        <v>3.5</v>
      </c>
    </row>
    <row r="115" spans="1:6">
      <c r="A115" t="s">
        <v>74</v>
      </c>
      <c r="B115">
        <v>4</v>
      </c>
      <c r="C115" s="2" t="s">
        <v>11</v>
      </c>
      <c r="D115" t="str">
        <f>IFERROR(IFERROR(VLOOKUP($C115, [1]SBOM!$F:$G, 2, FALSE), VLOOKUP(VALUE($C115), [1]SBOM!$F:$G, 2, FALSE)), "")</f>
        <v>FlowArt: Mini Single - Pretty Petals</v>
      </c>
      <c r="E115">
        <v>6</v>
      </c>
      <c r="F115">
        <v>3.5</v>
      </c>
    </row>
    <row r="116" spans="1:6">
      <c r="A116" t="s">
        <v>74</v>
      </c>
      <c r="B116">
        <v>5</v>
      </c>
      <c r="C116" s="2" t="s">
        <v>12</v>
      </c>
      <c r="D116" t="str">
        <f>IFERROR(IFERROR(VLOOKUP($C116, [1]SBOM!$F:$G, 2, FALSE), VLOOKUP(VALUE($C116), [1]SBOM!$F:$G, 2, FALSE)), "")</f>
        <v>FlowArt: Mini Single - Nature's Wonders</v>
      </c>
      <c r="E116">
        <v>6</v>
      </c>
      <c r="F116">
        <v>3.5</v>
      </c>
    </row>
    <row r="117" spans="1:6">
      <c r="A117" t="s">
        <v>74</v>
      </c>
      <c r="B117">
        <v>6</v>
      </c>
      <c r="C117" s="2" t="s">
        <v>13</v>
      </c>
      <c r="D117" t="str">
        <f>IFERROR(IFERROR(VLOOKUP($C117, [1]SBOM!$F:$G, 2, FALSE), VLOOKUP(VALUE($C117), [1]SBOM!$F:$G, 2, FALSE)), "")</f>
        <v>FlowArt: Mini Single - Furry Friends</v>
      </c>
      <c r="E117">
        <v>6</v>
      </c>
      <c r="F117">
        <v>3.5</v>
      </c>
    </row>
    <row r="118" spans="1:6" s="1" customFormat="1">
      <c r="A118" s="1" t="s">
        <v>74</v>
      </c>
      <c r="B118" s="1">
        <v>7</v>
      </c>
      <c r="C118" s="3" t="s">
        <v>87</v>
      </c>
      <c r="D118" s="1" t="str">
        <f>IFERROR(IFERROR(VLOOKUP($C118, [1]SBOM!$F:$G, 2, FALSE), VLOOKUP(VALUE($C118), [1]SBOM!$F:$G, 2, FALSE)), "")</f>
        <v>FA Mini - Counter Display - Empty</v>
      </c>
      <c r="E118" s="1">
        <v>2</v>
      </c>
      <c r="F118" s="1">
        <v>0</v>
      </c>
    </row>
    <row r="119" spans="1:6">
      <c r="A119" t="s">
        <v>75</v>
      </c>
      <c r="B119">
        <v>1</v>
      </c>
      <c r="C119" s="2" t="s">
        <v>16</v>
      </c>
      <c r="D119" t="str">
        <f>IFERROR(IFERROR(VLOOKUP($C119, [1]SBOM!$F:$G, 2, FALSE), VLOOKUP(VALUE($C119), [1]SBOM!$F:$G, 2, FALSE)), "")</f>
        <v>FlowArt: Mini Single - Deck the Halls [Metallic]</v>
      </c>
      <c r="E119">
        <v>18</v>
      </c>
      <c r="F119">
        <v>3.5</v>
      </c>
    </row>
    <row r="120" spans="1:6">
      <c r="A120" t="s">
        <v>75</v>
      </c>
      <c r="B120">
        <v>2</v>
      </c>
      <c r="C120" s="2" t="s">
        <v>17</v>
      </c>
      <c r="D120" t="str">
        <f>IFERROR(IFERROR(VLOOKUP($C120, [1]SBOM!$F:$G, 2, FALSE), VLOOKUP(VALUE($C120), [1]SBOM!$F:$G, 2, FALSE)), "")</f>
        <v>FlowArt: Mini Single - Frosted Village [Metallic]</v>
      </c>
      <c r="E120">
        <v>9</v>
      </c>
      <c r="F120">
        <v>3.5</v>
      </c>
    </row>
    <row r="121" spans="1:6">
      <c r="A121" t="s">
        <v>75</v>
      </c>
      <c r="B121">
        <v>3</v>
      </c>
      <c r="C121" s="2" t="s">
        <v>18</v>
      </c>
      <c r="D121" t="str">
        <f>IFERROR(IFERROR(VLOOKUP($C121, [1]SBOM!$F:$G, 2, FALSE), VLOOKUP(VALUE($C121), [1]SBOM!$F:$G, 2, FALSE)), "")</f>
        <v>FlowArt: Mini Single - Snowflake Serenity [Metallic]</v>
      </c>
      <c r="E121">
        <v>9</v>
      </c>
      <c r="F121">
        <v>3.5</v>
      </c>
    </row>
    <row r="122" spans="1:6" s="1" customFormat="1">
      <c r="A122" s="1" t="s">
        <v>75</v>
      </c>
      <c r="B122" s="1">
        <v>4</v>
      </c>
      <c r="C122" s="3" t="s">
        <v>19</v>
      </c>
      <c r="D122" s="1" t="str">
        <f>IFERROR(IFERROR(VLOOKUP($C122, [1]SBOM!$F:$G, 2, FALSE), VLOOKUP(VALUE($C122), [1]SBOM!$F:$G, 2, FALSE)), "")</f>
        <v>FA Holiday Mini - Counter Display - Empty</v>
      </c>
      <c r="E122" s="1">
        <v>1</v>
      </c>
      <c r="F122" s="1">
        <v>0</v>
      </c>
    </row>
    <row r="123" spans="1:6">
      <c r="A123" t="s">
        <v>76</v>
      </c>
      <c r="B123">
        <v>1</v>
      </c>
      <c r="C123" s="2" t="s">
        <v>21</v>
      </c>
      <c r="D123" t="str">
        <f>IFERROR(IFERROR(VLOOKUP($C123, [1]SBOM!$F:$G, 2, FALSE), VLOOKUP(VALUE($C123), [1]SBOM!$F:$G, 2, FALSE)), "")</f>
        <v>FlowArt: Dot-By-Letter, Cozy Cottage</v>
      </c>
      <c r="E123">
        <v>8</v>
      </c>
      <c r="F123">
        <v>6.5</v>
      </c>
    </row>
    <row r="124" spans="1:6">
      <c r="A124" t="s">
        <v>76</v>
      </c>
      <c r="B124">
        <v>2</v>
      </c>
      <c r="C124" s="2" t="s">
        <v>25</v>
      </c>
      <c r="D124" t="str">
        <f>IFERROR(IFERROR(VLOOKUP($C124, [1]SBOM!$F:$G, 2, FALSE), VLOOKUP(VALUE($C124), [1]SBOM!$F:$G, 2, FALSE)), "")</f>
        <v>FlowArt: Color-to-Reveal, Fragrant Blooms</v>
      </c>
      <c r="E124">
        <v>4</v>
      </c>
      <c r="F124">
        <v>6.5</v>
      </c>
    </row>
    <row r="125" spans="1:6">
      <c r="A125" t="s">
        <v>76</v>
      </c>
      <c r="B125">
        <v>3</v>
      </c>
      <c r="C125" s="2" t="s">
        <v>69</v>
      </c>
      <c r="D125" t="str">
        <f>IFERROR(IFERROR(VLOOKUP($C125, [1]SBOM!$F:$G, 2, FALSE), VLOOKUP(VALUE($C125), [1]SBOM!$F:$G, 2, FALSE)), "")</f>
        <v>FlowArt: Dot-By-Letter, Americana</v>
      </c>
      <c r="E125">
        <v>8</v>
      </c>
      <c r="F125">
        <v>6.5</v>
      </c>
    </row>
    <row r="126" spans="1:6">
      <c r="A126" t="s">
        <v>76</v>
      </c>
      <c r="B126">
        <v>4</v>
      </c>
      <c r="C126" s="2" t="s">
        <v>27</v>
      </c>
      <c r="D126" t="str">
        <f>IFERROR(IFERROR(VLOOKUP($C126, [1]SBOM!$F:$G, 2, FALSE), VLOOKUP(VALUE($C126), [1]SBOM!$F:$G, 2, FALSE)), "")</f>
        <v>FlowArt: Dot-By-Letter, Day at the Beach</v>
      </c>
      <c r="E126">
        <v>4</v>
      </c>
      <c r="F126">
        <v>6.5</v>
      </c>
    </row>
    <row r="127" spans="1:6">
      <c r="A127" t="s">
        <v>76</v>
      </c>
      <c r="B127">
        <v>5</v>
      </c>
      <c r="C127" s="2" t="s">
        <v>43</v>
      </c>
      <c r="D127" t="str">
        <f>IFERROR(IFERROR(VLOOKUP($C127, [1]SBOM!$F:$G, 2, FALSE), VLOOKUP(VALUE($C127), [1]SBOM!$F:$G, 2, FALSE)), "")</f>
        <v>FlowArt: Dot-By-Letter, Into the Deep [Metallic ink]</v>
      </c>
      <c r="E127">
        <v>4</v>
      </c>
      <c r="F127">
        <v>6.5</v>
      </c>
    </row>
    <row r="128" spans="1:6">
      <c r="A128" t="s">
        <v>76</v>
      </c>
      <c r="B128">
        <v>6</v>
      </c>
      <c r="C128" s="2" t="s">
        <v>70</v>
      </c>
      <c r="D128" t="str">
        <f>IFERROR(IFERROR(VLOOKUP($C128, [1]SBOM!$F:$G, 2, FALSE), VLOOKUP(VALUE($C128), [1]SBOM!$F:$G, 2, FALSE)), "")</f>
        <v>FlowArt: Color-to-Reveal, Citrus Coastlines</v>
      </c>
      <c r="E128">
        <v>4</v>
      </c>
      <c r="F128">
        <v>6.5</v>
      </c>
    </row>
    <row r="129" spans="1:6" s="1" customFormat="1">
      <c r="A129" s="1" t="s">
        <v>76</v>
      </c>
      <c r="B129" s="1">
        <v>7</v>
      </c>
      <c r="C129" s="3" t="s">
        <v>71</v>
      </c>
      <c r="D129" s="1" t="str">
        <f>IFERROR(IFERROR(VLOOKUP($C129, [1]SBOM!$F:$G, 2, FALSE), VLOOKUP(VALUE($C129), [1]SBOM!$F:$G, 2, FALSE)), "")</f>
        <v>FlowArt: Trace-By-Line, Brunch in Bloom</v>
      </c>
      <c r="E129" s="1">
        <v>4</v>
      </c>
      <c r="F129" s="1">
        <v>6.5</v>
      </c>
    </row>
    <row r="130" spans="1:6">
      <c r="A130" t="s">
        <v>77</v>
      </c>
      <c r="B130">
        <v>1</v>
      </c>
      <c r="C130" s="2" t="s">
        <v>30</v>
      </c>
      <c r="D130" t="str">
        <f>IFERROR(IFERROR(VLOOKUP($C130, [1]SBOM!$F:$G, 2, FALSE), VLOOKUP(VALUE($C130), [1]SBOM!$F:$G, 2, FALSE)), "")</f>
        <v>FlowArt: Dot-By-Letter, Strolling through Fall</v>
      </c>
      <c r="E130">
        <v>4</v>
      </c>
      <c r="F130">
        <v>6.5</v>
      </c>
    </row>
    <row r="131" spans="1:6">
      <c r="A131" t="s">
        <v>77</v>
      </c>
      <c r="B131">
        <v>2</v>
      </c>
      <c r="C131" s="2" t="s">
        <v>31</v>
      </c>
      <c r="D131" t="str">
        <f>IFERROR(IFERROR(VLOOKUP($C131, [1]SBOM!$F:$G, 2, FALSE), VLOOKUP(VALUE($C131), [1]SBOM!$F:$G, 2, FALSE)), "")</f>
        <v>FlowArt: Dot-By-Letter, Pumpkins &amp; Pastures</v>
      </c>
      <c r="E131">
        <v>4</v>
      </c>
      <c r="F131">
        <v>6.5</v>
      </c>
    </row>
    <row r="132" spans="1:6">
      <c r="A132" t="s">
        <v>77</v>
      </c>
      <c r="B132">
        <v>2</v>
      </c>
      <c r="C132" s="2" t="s">
        <v>33</v>
      </c>
      <c r="D132" t="str">
        <f>IFERROR(IFERROR(VLOOKUP($C132, [1]SBOM!$F:$G, 2, FALSE), VLOOKUP(VALUE($C132), [1]SBOM!$F:$G, 2, FALSE)), "")</f>
        <v>FlowArt: Dot-By-Letter, Sweater Weather [2026]</v>
      </c>
      <c r="E132">
        <v>8</v>
      </c>
      <c r="F132">
        <v>6.5</v>
      </c>
    </row>
    <row r="133" spans="1:6">
      <c r="A133" t="s">
        <v>77</v>
      </c>
      <c r="B133">
        <v>3</v>
      </c>
      <c r="C133" s="2" t="s">
        <v>32</v>
      </c>
      <c r="D133" t="str">
        <f>IFERROR(IFERROR(VLOOKUP($C133, [1]SBOM!$F:$G, 2, FALSE), VLOOKUP(VALUE($C133), [1]SBOM!$F:$G, 2, FALSE)), "")</f>
        <v>FlowArt: Trace-By-Line, Fall Harvest</v>
      </c>
      <c r="E133">
        <v>4</v>
      </c>
      <c r="F133">
        <v>6.5</v>
      </c>
    </row>
    <row r="134" spans="1:6" s="1" customFormat="1">
      <c r="A134" s="1" t="s">
        <v>77</v>
      </c>
      <c r="B134" s="1">
        <v>4</v>
      </c>
      <c r="C134" s="3" t="s">
        <v>88</v>
      </c>
      <c r="D134" s="1" t="str">
        <f>IFERROR(IFERROR(VLOOKUP($C134, [1]SBOM!$F:$G, 2, FALSE), VLOOKUP(VALUE($C134), [1]SBOM!$F:$G, 2, FALSE)), "")</f>
        <v>FlowArt: Color-to-Reveal, Fall is in the Air [Scented]</v>
      </c>
      <c r="E134" s="1">
        <v>4</v>
      </c>
      <c r="F134" s="1">
        <v>6.5</v>
      </c>
    </row>
    <row r="135" spans="1:6">
      <c r="A135" t="s">
        <v>78</v>
      </c>
      <c r="B135">
        <v>1</v>
      </c>
      <c r="C135" s="2" t="s">
        <v>35</v>
      </c>
      <c r="D135" t="str">
        <f>IFERROR(IFERROR(VLOOKUP($C135, [1]SBOM!$F:$G, 2, FALSE), VLOOKUP(VALUE($C135), [1]SBOM!$F:$G, 2, FALSE)), "")</f>
        <v>FlowArt: Dot-By-Letter, Winter Wonderland</v>
      </c>
      <c r="E135">
        <v>4</v>
      </c>
      <c r="F135">
        <v>6.5</v>
      </c>
    </row>
    <row r="136" spans="1:6">
      <c r="A136" t="s">
        <v>78</v>
      </c>
      <c r="B136">
        <v>2</v>
      </c>
      <c r="C136" s="2" t="s">
        <v>36</v>
      </c>
      <c r="D136" t="str">
        <f>IFERROR(IFERROR(VLOOKUP($C136, [1]SBOM!$F:$G, 2, FALSE), VLOOKUP(VALUE($C136), [1]SBOM!$F:$G, 2, FALSE)), "")</f>
        <v>FlowArt: Dot-By-Letter, Snowed In</v>
      </c>
      <c r="E136">
        <v>4</v>
      </c>
      <c r="F136">
        <v>6.5</v>
      </c>
    </row>
    <row r="137" spans="1:6">
      <c r="A137" t="s">
        <v>78</v>
      </c>
      <c r="B137">
        <v>3</v>
      </c>
      <c r="C137" s="2" t="s">
        <v>38</v>
      </c>
      <c r="D137" t="str">
        <f>IFERROR(IFERROR(VLOOKUP($C137, [1]SBOM!$F:$G, 2, FALSE), VLOOKUP(VALUE($C137), [1]SBOM!$F:$G, 2, FALSE)), "")</f>
        <v>FlowArt: Dot-By-Letter, Winter's Glow [Metallic ink]</v>
      </c>
      <c r="E137">
        <v>8</v>
      </c>
      <c r="F137">
        <v>6.5</v>
      </c>
    </row>
    <row r="138" spans="1:6">
      <c r="A138" t="s">
        <v>78</v>
      </c>
      <c r="B138">
        <v>4</v>
      </c>
      <c r="C138" s="2" t="s">
        <v>89</v>
      </c>
      <c r="D138" t="str">
        <f>IFERROR(IFERROR(VLOOKUP($C138, [1]SBOM!$F:$G, 2, FALSE), VLOOKUP(VALUE($C138), [1]SBOM!$F:$G, 2, FALSE)), "")</f>
        <v>FlowArt: Color-To-Reveal, Snowy Village [Scented]</v>
      </c>
      <c r="E138">
        <v>4</v>
      </c>
      <c r="F138">
        <v>6.5</v>
      </c>
    </row>
    <row r="139" spans="1:6" s="1" customFormat="1">
      <c r="A139" s="1" t="s">
        <v>78</v>
      </c>
      <c r="B139" s="1">
        <v>5</v>
      </c>
      <c r="C139" s="3" t="s">
        <v>90</v>
      </c>
      <c r="D139" s="1" t="str">
        <f>IFERROR(IFERROR(VLOOKUP($C139, [1]SBOM!$F:$G, 2, FALSE), VLOOKUP(VALUE($C139), [1]SBOM!$F:$G, 2, FALSE)), "")</f>
        <v>FlowArt: Trace-by-Line, Gingerbread Delight</v>
      </c>
      <c r="E139" s="1">
        <v>4</v>
      </c>
      <c r="F139" s="1">
        <v>6.5</v>
      </c>
    </row>
    <row r="140" spans="1:6">
      <c r="A140" t="s">
        <v>79</v>
      </c>
      <c r="B140">
        <v>1</v>
      </c>
      <c r="C140" s="2" t="s">
        <v>40</v>
      </c>
      <c r="D140" t="str">
        <f>IFERROR(IFERROR(VLOOKUP($C140, [1]SBOM!$F:$G, 2, FALSE), VLOOKUP(VALUE($C140), [1]SBOM!$F:$G, 2, FALSE)), "")</f>
        <v>FlowArt: Dot-By-Letter, Botanicals</v>
      </c>
      <c r="E140">
        <v>4</v>
      </c>
      <c r="F140">
        <v>6.5</v>
      </c>
    </row>
    <row r="141" spans="1:6">
      <c r="A141" t="s">
        <v>79</v>
      </c>
      <c r="B141">
        <v>2</v>
      </c>
      <c r="C141" s="2" t="s">
        <v>41</v>
      </c>
      <c r="D141" t="str">
        <f>IFERROR(IFERROR(VLOOKUP($C141, [1]SBOM!$F:$G, 2, FALSE), VLOOKUP(VALUE($C141), [1]SBOM!$F:$G, 2, FALSE)), "")</f>
        <v>FlowArt: Dot-By-Letter, Landscapes</v>
      </c>
      <c r="E141">
        <v>4</v>
      </c>
      <c r="F141">
        <v>6.5</v>
      </c>
    </row>
    <row r="142" spans="1:6">
      <c r="A142" t="s">
        <v>79</v>
      </c>
      <c r="B142">
        <v>3</v>
      </c>
      <c r="C142" s="2" t="s">
        <v>42</v>
      </c>
      <c r="D142" t="str">
        <f>IFERROR(IFERROR(VLOOKUP($C142, [1]SBOM!$F:$G, 2, FALSE), VLOOKUP(VALUE($C142), [1]SBOM!$F:$G, 2, FALSE)), "")</f>
        <v>FlowArt: Dot-By-Letter, Into the Galaxy [Metallic ink]</v>
      </c>
      <c r="E142">
        <v>8</v>
      </c>
      <c r="F142">
        <v>6.5</v>
      </c>
    </row>
    <row r="143" spans="1:6">
      <c r="A143" t="s">
        <v>79</v>
      </c>
      <c r="B143">
        <v>4</v>
      </c>
      <c r="C143" s="2" t="s">
        <v>43</v>
      </c>
      <c r="D143" t="str">
        <f>IFERROR(IFERROR(VLOOKUP($C143, [1]SBOM!$F:$G, 2, FALSE), VLOOKUP(VALUE($C143), [1]SBOM!$F:$G, 2, FALSE)), "")</f>
        <v>FlowArt: Dot-By-Letter, Into the Deep [Metallic ink]</v>
      </c>
      <c r="E143">
        <v>4</v>
      </c>
      <c r="F143">
        <v>6.5</v>
      </c>
    </row>
    <row r="144" spans="1:6">
      <c r="A144" t="s">
        <v>79</v>
      </c>
      <c r="B144">
        <v>5</v>
      </c>
      <c r="C144" s="2" t="s">
        <v>21</v>
      </c>
      <c r="D144" t="str">
        <f>IFERROR(IFERROR(VLOOKUP($C144, [1]SBOM!$F:$G, 2, FALSE), VLOOKUP(VALUE($C144), [1]SBOM!$F:$G, 2, FALSE)), "")</f>
        <v>FlowArt: Dot-By-Letter, Cozy Cottage</v>
      </c>
      <c r="E144">
        <v>8</v>
      </c>
      <c r="F144">
        <v>6.5</v>
      </c>
    </row>
    <row r="145" spans="1:6">
      <c r="A145" t="s">
        <v>79</v>
      </c>
      <c r="B145">
        <v>6</v>
      </c>
      <c r="C145" s="2" t="s">
        <v>44</v>
      </c>
      <c r="D145" t="str">
        <f>IFERROR(IFERROR(VLOOKUP($C145, [1]SBOM!$F:$G, 2, FALSE), VLOOKUP(VALUE($C145), [1]SBOM!$F:$G, 2, FALSE)), "")</f>
        <v>FlowArt: Trace-By-Groove, Jungle Oasis</v>
      </c>
      <c r="E145">
        <v>4</v>
      </c>
      <c r="F145">
        <v>6.5</v>
      </c>
    </row>
    <row r="146" spans="1:6">
      <c r="A146" t="s">
        <v>79</v>
      </c>
      <c r="B146">
        <v>7</v>
      </c>
      <c r="C146" s="2" t="s">
        <v>26</v>
      </c>
      <c r="D146" t="str">
        <f>IFERROR(IFERROR(VLOOKUP($C146, [1]SBOM!$F:$G, 2, FALSE), VLOOKUP(VALUE($C146), [1]SBOM!$F:$G, 2, FALSE)), "")</f>
        <v>FlowArt: Trace-By-Line, Tropical Paradise</v>
      </c>
      <c r="E146">
        <v>4</v>
      </c>
      <c r="F146">
        <v>6.5</v>
      </c>
    </row>
    <row r="147" spans="1:6">
      <c r="A147" t="s">
        <v>79</v>
      </c>
      <c r="B147">
        <v>8</v>
      </c>
      <c r="C147" s="2" t="s">
        <v>45</v>
      </c>
      <c r="D147" t="str">
        <f>IFERROR(IFERROR(VLOOKUP($C147, [1]SBOM!$F:$G, 2, FALSE), VLOOKUP(VALUE($C147), [1]SBOM!$F:$G, 2, FALSE)), "")</f>
        <v>UNIVERSAL COUNTER DISPLAY - EMPTY</v>
      </c>
      <c r="E147">
        <v>1</v>
      </c>
      <c r="F147">
        <v>0</v>
      </c>
    </row>
    <row r="148" spans="1:6">
      <c r="A148" t="s">
        <v>80</v>
      </c>
      <c r="B148">
        <v>1</v>
      </c>
      <c r="C148" s="2" t="s">
        <v>40</v>
      </c>
      <c r="D148" t="str">
        <f>IFERROR(IFERROR(VLOOKUP($C148, [1]SBOM!$F:$G, 2, FALSE), VLOOKUP(VALUE($C148), [1]SBOM!$F:$G, 2, FALSE)), "")</f>
        <v>FlowArt: Dot-By-Letter, Botanicals</v>
      </c>
      <c r="E148">
        <v>8</v>
      </c>
      <c r="F148">
        <v>6.5</v>
      </c>
    </row>
    <row r="149" spans="1:6">
      <c r="A149" t="s">
        <v>80</v>
      </c>
      <c r="B149">
        <v>2</v>
      </c>
      <c r="C149" s="2" t="s">
        <v>41</v>
      </c>
      <c r="D149" t="str">
        <f>IFERROR(IFERROR(VLOOKUP($C149, [1]SBOM!$F:$G, 2, FALSE), VLOOKUP(VALUE($C149), [1]SBOM!$F:$G, 2, FALSE)), "")</f>
        <v>FlowArt: Dot-By-Letter, Landscapes</v>
      </c>
      <c r="E149">
        <v>8</v>
      </c>
      <c r="F149">
        <v>6.5</v>
      </c>
    </row>
    <row r="150" spans="1:6">
      <c r="A150" t="s">
        <v>80</v>
      </c>
      <c r="B150">
        <v>3</v>
      </c>
      <c r="C150" s="2" t="s">
        <v>47</v>
      </c>
      <c r="D150" t="str">
        <f>IFERROR(IFERROR(VLOOKUP($C150, [1]SBOM!$F:$G, 2, FALSE), VLOOKUP(VALUE($C150), [1]SBOM!$F:$G, 2, FALSE)), "")</f>
        <v>FlowArt: Color-to-Reveal, Animals</v>
      </c>
      <c r="E150">
        <v>8</v>
      </c>
      <c r="F150">
        <v>6.5</v>
      </c>
    </row>
    <row r="151" spans="1:6">
      <c r="A151" t="s">
        <v>80</v>
      </c>
      <c r="B151">
        <v>4</v>
      </c>
      <c r="C151" s="2" t="s">
        <v>48</v>
      </c>
      <c r="D151" t="str">
        <f>IFERROR(IFERROR(VLOOKUP($C151, [1]SBOM!$F:$G, 2, FALSE), VLOOKUP(VALUE($C151), [1]SBOM!$F:$G, 2, FALSE)), "")</f>
        <v>FlowArt: Stamp by Shape, Mediterranean</v>
      </c>
      <c r="E151">
        <v>4</v>
      </c>
      <c r="F151">
        <v>6.5</v>
      </c>
    </row>
    <row r="152" spans="1:6">
      <c r="A152" t="s">
        <v>80</v>
      </c>
      <c r="B152">
        <v>5</v>
      </c>
      <c r="C152" s="2" t="s">
        <v>42</v>
      </c>
      <c r="D152" t="str">
        <f>IFERROR(IFERROR(VLOOKUP($C152, [1]SBOM!$F:$G, 2, FALSE), VLOOKUP(VALUE($C152), [1]SBOM!$F:$G, 2, FALSE)), "")</f>
        <v>FlowArt: Dot-By-Letter, Into the Galaxy [Metallic ink]</v>
      </c>
      <c r="E152">
        <v>8</v>
      </c>
      <c r="F152">
        <v>6.5</v>
      </c>
    </row>
    <row r="153" spans="1:6">
      <c r="A153" t="s">
        <v>80</v>
      </c>
      <c r="B153">
        <v>6</v>
      </c>
      <c r="C153" s="2" t="s">
        <v>43</v>
      </c>
      <c r="D153" t="str">
        <f>IFERROR(IFERROR(VLOOKUP($C153, [1]SBOM!$F:$G, 2, FALSE), VLOOKUP(VALUE($C153), [1]SBOM!$F:$G, 2, FALSE)), "")</f>
        <v>FlowArt: Dot-By-Letter, Into the Deep [Metallic ink]</v>
      </c>
      <c r="E153">
        <v>8</v>
      </c>
      <c r="F153">
        <v>6.5</v>
      </c>
    </row>
    <row r="154" spans="1:6">
      <c r="A154" t="s">
        <v>80</v>
      </c>
      <c r="B154">
        <v>7</v>
      </c>
      <c r="C154" s="2" t="s">
        <v>21</v>
      </c>
      <c r="D154" t="str">
        <f>IFERROR(IFERROR(VLOOKUP($C154, [1]SBOM!$F:$G, 2, FALSE), VLOOKUP(VALUE($C154), [1]SBOM!$F:$G, 2, FALSE)), "")</f>
        <v>FlowArt: Dot-By-Letter, Cozy Cottage</v>
      </c>
      <c r="E154">
        <v>8</v>
      </c>
      <c r="F154">
        <v>6.5</v>
      </c>
    </row>
    <row r="155" spans="1:6">
      <c r="A155" t="s">
        <v>80</v>
      </c>
      <c r="B155">
        <v>8</v>
      </c>
      <c r="C155" s="2" t="s">
        <v>24</v>
      </c>
      <c r="D155" t="str">
        <f>IFERROR(IFERROR(VLOOKUP($C155, [1]SBOM!$F:$G, 2, FALSE), VLOOKUP(VALUE($C155), [1]SBOM!$F:$G, 2, FALSE)), "")</f>
        <v>FlowArt: Stamp by Shape, Secret Garden</v>
      </c>
      <c r="E155">
        <v>8</v>
      </c>
      <c r="F155">
        <v>6.5</v>
      </c>
    </row>
    <row r="156" spans="1:6">
      <c r="A156" t="s">
        <v>80</v>
      </c>
      <c r="B156">
        <v>9</v>
      </c>
      <c r="C156" s="2" t="s">
        <v>22</v>
      </c>
      <c r="D156" t="str">
        <f>IFERROR(IFERROR(VLOOKUP($C156, [1]SBOM!$F:$G, 2, FALSE), VLOOKUP(VALUE($C156), [1]SBOM!$F:$G, 2, FALSE)), "")</f>
        <v>FlowArt: Color-to-Reveal, Foodie Fun</v>
      </c>
      <c r="E156">
        <v>4</v>
      </c>
      <c r="F156">
        <v>6.5</v>
      </c>
    </row>
    <row r="157" spans="1:6">
      <c r="A157" t="s">
        <v>80</v>
      </c>
      <c r="B157">
        <v>10</v>
      </c>
      <c r="C157" s="2" t="s">
        <v>26</v>
      </c>
      <c r="D157" t="str">
        <f>IFERROR(IFERROR(VLOOKUP($C157, [1]SBOM!$F:$G, 2, FALSE), VLOOKUP(VALUE($C157), [1]SBOM!$F:$G, 2, FALSE)), "")</f>
        <v>FlowArt: Trace-By-Line, Tropical Paradise</v>
      </c>
      <c r="E157">
        <v>8</v>
      </c>
      <c r="F157">
        <v>6.5</v>
      </c>
    </row>
    <row r="158" spans="1:6">
      <c r="A158" t="s">
        <v>80</v>
      </c>
      <c r="B158">
        <v>11</v>
      </c>
      <c r="C158" s="2" t="s">
        <v>49</v>
      </c>
      <c r="D158" t="str">
        <f>IFERROR(IFERROR(VLOOKUP($C158, [1]SBOM!$F:$G, 2, FALSE), VLOOKUP(VALUE($C158), [1]SBOM!$F:$G, 2, FALSE)), "")</f>
        <v>FlowArt: Trace-To-Doodle, Style Your Space</v>
      </c>
      <c r="E158">
        <v>4</v>
      </c>
      <c r="F158">
        <v>6.5</v>
      </c>
    </row>
    <row r="159" spans="1:6">
      <c r="A159" t="s">
        <v>80</v>
      </c>
      <c r="B159">
        <v>12</v>
      </c>
      <c r="C159" s="2" t="s">
        <v>44</v>
      </c>
      <c r="D159" t="str">
        <f>IFERROR(IFERROR(VLOOKUP($C159, [1]SBOM!$F:$G, 2, FALSE), VLOOKUP(VALUE($C159), [1]SBOM!$F:$G, 2, FALSE)), "")</f>
        <v>FlowArt: Trace-By-Groove, Jungle Oasis</v>
      </c>
      <c r="E159">
        <v>4</v>
      </c>
      <c r="F159">
        <v>6.5</v>
      </c>
    </row>
    <row r="160" spans="1:6" s="1" customFormat="1">
      <c r="A160" s="1" t="s">
        <v>80</v>
      </c>
      <c r="B160" s="1">
        <v>13</v>
      </c>
      <c r="C160" s="3" t="s">
        <v>50</v>
      </c>
      <c r="D160" s="1" t="str">
        <f>IFERROR(IFERROR(VLOOKUP($C160, [1]SBOM!$F:$G, 2, FALSE), VLOOKUP(VALUE($C160), [1]SBOM!$F:$G, 2, FALSE)), "")</f>
        <v>FlowArt - Spinner Tower - Empty</v>
      </c>
      <c r="E160" s="1">
        <v>1</v>
      </c>
      <c r="F160" s="1">
        <v>0</v>
      </c>
    </row>
    <row r="161" spans="1:6">
      <c r="A161" t="s">
        <v>81</v>
      </c>
      <c r="B161">
        <v>1</v>
      </c>
      <c r="C161" s="2" t="s">
        <v>52</v>
      </c>
      <c r="D161" t="str">
        <f>IFERROR(IFERROR(VLOOKUP($C161, [1]SBOM!$F:$G, 2, FALSE), VLOOKUP(VALUE($C161), [1]SBOM!$F:$G, 2, FALSE)), "")</f>
        <v>Pen Diffuser with Essential Oil Blends - In Bloom</v>
      </c>
      <c r="E161">
        <v>6</v>
      </c>
      <c r="F161">
        <v>6.5</v>
      </c>
    </row>
    <row r="162" spans="1:6">
      <c r="A162" t="s">
        <v>81</v>
      </c>
      <c r="B162">
        <v>2</v>
      </c>
      <c r="C162" s="2" t="s">
        <v>53</v>
      </c>
      <c r="D162" t="str">
        <f>IFERROR(IFERROR(VLOOKUP($C162, [1]SBOM!$F:$G, 2, FALSE), VLOOKUP(VALUE($C162), [1]SBOM!$F:$G, 2, FALSE)), "")</f>
        <v>Pen Diffuser with  Essential Oil Blends - Citrus Grove</v>
      </c>
      <c r="E162">
        <v>6</v>
      </c>
      <c r="F162">
        <v>6.5</v>
      </c>
    </row>
    <row r="163" spans="1:6">
      <c r="A163" t="s">
        <v>81</v>
      </c>
      <c r="B163">
        <v>3</v>
      </c>
      <c r="C163" s="2" t="s">
        <v>54</v>
      </c>
      <c r="D163" t="str">
        <f>IFERROR(IFERROR(VLOOKUP($C163, [1]SBOM!$F:$G, 2, FALSE), VLOOKUP(VALUE($C163), [1]SBOM!$F:$G, 2, FALSE)), "")</f>
        <v xml:space="preserve">Scented Lava Pen Set - 2-pack (Blue / Green) </v>
      </c>
      <c r="E163">
        <v>4</v>
      </c>
      <c r="F163">
        <v>6.5</v>
      </c>
    </row>
    <row r="164" spans="1:6">
      <c r="A164" t="s">
        <v>81</v>
      </c>
      <c r="B164">
        <v>4</v>
      </c>
      <c r="C164" s="2" t="s">
        <v>55</v>
      </c>
      <c r="D164" t="str">
        <f>IFERROR(IFERROR(VLOOKUP($C164, [1]SBOM!$F:$G, 2, FALSE), VLOOKUP(VALUE($C164), [1]SBOM!$F:$G, 2, FALSE)), "")</f>
        <v>Scented Lava Pen Set- 5-pack (Brights)</v>
      </c>
      <c r="E164">
        <v>4</v>
      </c>
      <c r="F164">
        <v>10</v>
      </c>
    </row>
    <row r="165" spans="1:6">
      <c r="A165" t="s">
        <v>81</v>
      </c>
      <c r="B165">
        <v>5</v>
      </c>
      <c r="C165" s="2" t="s">
        <v>56</v>
      </c>
      <c r="D165" t="str">
        <f>IFERROR(IFERROR(VLOOKUP($C165, [1]SBOM!$F:$G, 2, FALSE), VLOOKUP(VALUE($C165), [1]SBOM!$F:$G, 2, FALSE)), "")</f>
        <v>Rub &amp; Sniff™ Scented Colored Pencils - 10-pack (Classic Palette)</v>
      </c>
      <c r="E165">
        <v>4</v>
      </c>
      <c r="F165">
        <v>6.5</v>
      </c>
    </row>
    <row r="166" spans="1:6">
      <c r="A166" t="s">
        <v>81</v>
      </c>
      <c r="B166">
        <v>6</v>
      </c>
      <c r="C166" s="2" t="s">
        <v>57</v>
      </c>
      <c r="D166" t="str">
        <f>IFERROR(IFERROR(VLOOKUP($C166, [1]SBOM!$F:$G, 2, FALSE), VLOOKUP(VALUE($C166), [1]SBOM!$F:$G, 2, FALSE)), "")</f>
        <v>Pen Diffuser with Essential Oil Blends -  Spiced Chai Latte</v>
      </c>
      <c r="E166">
        <v>4</v>
      </c>
      <c r="F166">
        <v>6.5</v>
      </c>
    </row>
    <row r="167" spans="1:6">
      <c r="A167" t="s">
        <v>81</v>
      </c>
      <c r="B167">
        <v>7</v>
      </c>
      <c r="C167" s="2" t="s">
        <v>58</v>
      </c>
      <c r="D167" t="str">
        <f>IFERROR(IFERROR(VLOOKUP($C167, [1]SBOM!$F:$G, 2, FALSE), VLOOKUP(VALUE($C167), [1]SBOM!$F:$G, 2, FALSE)), "")</f>
        <v xml:space="preserve">Scented Lava Pen Set- 5-pack </v>
      </c>
      <c r="E167">
        <v>4</v>
      </c>
      <c r="F167">
        <v>10</v>
      </c>
    </row>
    <row r="168" spans="1:6">
      <c r="A168" t="s">
        <v>81</v>
      </c>
      <c r="B168">
        <v>8</v>
      </c>
      <c r="C168" s="2" t="s">
        <v>59</v>
      </c>
      <c r="D168" t="str">
        <f>IFERROR(IFERROR(VLOOKUP($C168, [1]SBOM!$F:$G, 2, FALSE), VLOOKUP(VALUE($C168), [1]SBOM!$F:$G, 2, FALSE)), "")</f>
        <v>Pen Diffuser with Essential Oil Blends -  Strawberry Milkshake</v>
      </c>
      <c r="E168">
        <v>4</v>
      </c>
      <c r="F168">
        <v>6.5</v>
      </c>
    </row>
    <row r="169" spans="1:6">
      <c r="A169" t="s">
        <v>81</v>
      </c>
      <c r="B169">
        <v>9</v>
      </c>
      <c r="C169" s="2" t="s">
        <v>60</v>
      </c>
      <c r="D169" t="str">
        <f>IFERROR(IFERROR(VLOOKUP($C169, [1]SBOM!$F:$G, 2, FALSE), VLOOKUP(VALUE($C169), [1]SBOM!$F:$G, 2, FALSE)), "")</f>
        <v xml:space="preserve">Scented Lava Pen Set - 2-pack (Pink / Purple) </v>
      </c>
      <c r="E169">
        <v>4</v>
      </c>
      <c r="F169">
        <v>6.5</v>
      </c>
    </row>
    <row r="170" spans="1:6">
      <c r="A170" t="s">
        <v>81</v>
      </c>
      <c r="B170">
        <v>10</v>
      </c>
      <c r="C170" s="2" t="s">
        <v>61</v>
      </c>
      <c r="D170" t="str">
        <f>IFERROR(IFERROR(VLOOKUP($C170, [1]SBOM!$F:$G, 2, FALSE), VLOOKUP(VALUE($C170), [1]SBOM!$F:$G, 2, FALSE)), "")</f>
        <v>Scented Marker 10 Colors</v>
      </c>
      <c r="E170">
        <v>4</v>
      </c>
      <c r="F170">
        <v>6.5</v>
      </c>
    </row>
    <row r="171" spans="1:6" s="1" customFormat="1">
      <c r="A171" s="1" t="s">
        <v>81</v>
      </c>
      <c r="B171" s="1">
        <v>11</v>
      </c>
      <c r="C171" s="3" t="s">
        <v>45</v>
      </c>
      <c r="D171" s="1" t="str">
        <f>IFERROR(IFERROR(VLOOKUP($C171, [1]SBOM!$F:$G, 2, FALSE), VLOOKUP(VALUE($C171), [1]SBOM!$F:$G, 2, FALSE)), "")</f>
        <v>UNIVERSAL COUNTER DISPLAY - EMPTY</v>
      </c>
      <c r="E171" s="1">
        <v>1</v>
      </c>
      <c r="F171" s="1">
        <v>0</v>
      </c>
    </row>
    <row r="172" spans="1:6">
      <c r="A172" t="s">
        <v>82</v>
      </c>
      <c r="B172">
        <v>1</v>
      </c>
      <c r="C172" s="2" t="s">
        <v>52</v>
      </c>
      <c r="D172" t="str">
        <f>IFERROR(IFERROR(VLOOKUP($C172, [1]SBOM!$F:$G, 2, FALSE), VLOOKUP(VALUE($C172), [1]SBOM!$F:$G, 2, FALSE)), "")</f>
        <v>Pen Diffuser with Essential Oil Blends - In Bloom</v>
      </c>
      <c r="E172">
        <v>6</v>
      </c>
      <c r="F172">
        <v>6.5</v>
      </c>
    </row>
    <row r="173" spans="1:6">
      <c r="A173" t="s">
        <v>82</v>
      </c>
      <c r="B173">
        <v>2</v>
      </c>
      <c r="C173" s="2" t="s">
        <v>63</v>
      </c>
      <c r="D173" t="str">
        <f>IFERROR(IFERROR(VLOOKUP($C173, [1]SBOM!$F:$G, 2, FALSE), VLOOKUP(VALUE($C173), [1]SBOM!$F:$G, 2, FALSE)), "")</f>
        <v>Pen Diffuser with Essential Oil Blend- Crisp Mountain Air</v>
      </c>
      <c r="E173">
        <v>6</v>
      </c>
      <c r="F173">
        <v>6.5</v>
      </c>
    </row>
    <row r="174" spans="1:6">
      <c r="A174" t="s">
        <v>82</v>
      </c>
      <c r="B174">
        <v>3</v>
      </c>
      <c r="C174" s="2" t="s">
        <v>57</v>
      </c>
      <c r="D174" t="str">
        <f>IFERROR(IFERROR(VLOOKUP($C174, [1]SBOM!$F:$G, 2, FALSE), VLOOKUP(VALUE($C174), [1]SBOM!$F:$G, 2, FALSE)), "")</f>
        <v>Pen Diffuser with Essential Oil Blends -  Spiced Chai Latte</v>
      </c>
      <c r="E174">
        <v>4</v>
      </c>
      <c r="F174">
        <v>6.5</v>
      </c>
    </row>
    <row r="175" spans="1:6">
      <c r="A175" t="s">
        <v>82</v>
      </c>
      <c r="B175">
        <v>4</v>
      </c>
      <c r="C175" s="2" t="s">
        <v>59</v>
      </c>
      <c r="D175" t="str">
        <f>IFERROR(IFERROR(VLOOKUP($C175, [1]SBOM!$F:$G, 2, FALSE), VLOOKUP(VALUE($C175), [1]SBOM!$F:$G, 2, FALSE)), "")</f>
        <v>Pen Diffuser with Essential Oil Blends -  Strawberry Milkshake</v>
      </c>
      <c r="E175">
        <v>8</v>
      </c>
      <c r="F175">
        <v>6.5</v>
      </c>
    </row>
    <row r="176" spans="1:6">
      <c r="A176" t="s">
        <v>82</v>
      </c>
      <c r="B176">
        <v>5</v>
      </c>
      <c r="C176" s="2" t="s">
        <v>64</v>
      </c>
      <c r="D176" t="str">
        <f>IFERROR(IFERROR(VLOOKUP($C176, [1]SBOM!$F:$G, 2, FALSE), VLOOKUP(VALUE($C176), [1]SBOM!$F:$G, 2, FALSE)), "")</f>
        <v>Pen Diffuser with Essential Oil Blends -  Cotton Candy</v>
      </c>
      <c r="E176">
        <v>8</v>
      </c>
      <c r="F176">
        <v>6.5</v>
      </c>
    </row>
    <row r="177" spans="1:6" s="1" customFormat="1">
      <c r="A177" s="1" t="s">
        <v>82</v>
      </c>
      <c r="B177" s="1">
        <v>6</v>
      </c>
      <c r="C177" s="3" t="s">
        <v>45</v>
      </c>
      <c r="D177" s="1" t="str">
        <f>IFERROR(IFERROR(VLOOKUP($C177, [1]SBOM!$F:$G, 2, FALSE), VLOOKUP(VALUE($C177), [1]SBOM!$F:$G, 2, FALSE)), "")</f>
        <v>UNIVERSAL COUNTER DISPLAY - EMPTY</v>
      </c>
      <c r="E177" s="1">
        <v>1</v>
      </c>
      <c r="F177" s="1">
        <v>0</v>
      </c>
    </row>
    <row r="178" spans="1:6">
      <c r="A178" t="s">
        <v>83</v>
      </c>
      <c r="B178">
        <v>1</v>
      </c>
      <c r="C178" s="2" t="s">
        <v>40</v>
      </c>
      <c r="D178" t="str">
        <f>IFERROR(IFERROR(VLOOKUP($C178, [1]SBOM!$F:$G, 2, FALSE), VLOOKUP(VALUE($C178), [1]SBOM!$F:$G, 2, FALSE)), "")</f>
        <v>FlowArt: Dot-By-Letter, Botanicals</v>
      </c>
      <c r="E178">
        <v>8</v>
      </c>
      <c r="F178">
        <v>5</v>
      </c>
    </row>
    <row r="179" spans="1:6">
      <c r="A179" t="s">
        <v>83</v>
      </c>
      <c r="B179">
        <v>2</v>
      </c>
      <c r="C179" s="2" t="s">
        <v>66</v>
      </c>
      <c r="D179" t="str">
        <f>IFERROR(IFERROR(VLOOKUP($C179, [1]SBOM!$F:$G, 2, FALSE), VLOOKUP(VALUE($C179), [1]SBOM!$F:$G, 2, FALSE)), "")</f>
        <v>FlowArt: Illuminate &amp; Create, Wildlife</v>
      </c>
      <c r="E179">
        <v>4</v>
      </c>
      <c r="F179">
        <v>5</v>
      </c>
    </row>
    <row r="180" spans="1:6">
      <c r="A180" t="s">
        <v>83</v>
      </c>
      <c r="B180">
        <v>3</v>
      </c>
      <c r="C180" s="2" t="s">
        <v>67</v>
      </c>
      <c r="D180" t="str">
        <f>IFERROR(IFERROR(VLOOKUP($C180, [1]SBOM!$F:$G, 2, FALSE), VLOOKUP(VALUE($C180), [1]SBOM!$F:$G, 2, FALSE)), "")</f>
        <v>FlowArt: Pogo-Dot, Nature</v>
      </c>
      <c r="E180">
        <v>4</v>
      </c>
      <c r="F180">
        <v>5</v>
      </c>
    </row>
    <row r="181" spans="1:6">
      <c r="A181" t="s">
        <v>83</v>
      </c>
      <c r="B181">
        <v>4</v>
      </c>
      <c r="C181" s="2" t="s">
        <v>41</v>
      </c>
      <c r="D181" t="str">
        <f>IFERROR(IFERROR(VLOOKUP($C181, [1]SBOM!$F:$G, 2, FALSE), VLOOKUP(VALUE($C181), [1]SBOM!$F:$G, 2, FALSE)), "")</f>
        <v>FlowArt: Dot-By-Letter, Landscapes</v>
      </c>
      <c r="E181">
        <v>12</v>
      </c>
      <c r="F181">
        <v>5</v>
      </c>
    </row>
    <row r="182" spans="1:6">
      <c r="A182" t="s">
        <v>83</v>
      </c>
      <c r="B182">
        <v>5</v>
      </c>
      <c r="C182" s="2" t="s">
        <v>47</v>
      </c>
      <c r="D182" t="str">
        <f>IFERROR(IFERROR(VLOOKUP($C182, [1]SBOM!$F:$G, 2, FALSE), VLOOKUP(VALUE($C182), [1]SBOM!$F:$G, 2, FALSE)), "")</f>
        <v>FlowArt: Color-to-Reveal, Animals</v>
      </c>
      <c r="E182">
        <v>12</v>
      </c>
      <c r="F182">
        <v>5</v>
      </c>
    </row>
    <row r="183" spans="1:6">
      <c r="A183" t="s">
        <v>83</v>
      </c>
      <c r="B183">
        <v>6</v>
      </c>
      <c r="C183" s="2" t="s">
        <v>42</v>
      </c>
      <c r="D183" t="str">
        <f>IFERROR(IFERROR(VLOOKUP($C183, [1]SBOM!$F:$G, 2, FALSE), VLOOKUP(VALUE($C183), [1]SBOM!$F:$G, 2, FALSE)), "")</f>
        <v>FlowArt: Dot-By-Letter, Into the Galaxy [Metallic ink]</v>
      </c>
      <c r="E183">
        <v>12</v>
      </c>
      <c r="F183">
        <v>5</v>
      </c>
    </row>
    <row r="184" spans="1:6">
      <c r="A184" t="s">
        <v>83</v>
      </c>
      <c r="B184">
        <v>7</v>
      </c>
      <c r="C184" s="2" t="s">
        <v>43</v>
      </c>
      <c r="D184" t="str">
        <f>IFERROR(IFERROR(VLOOKUP($C184, [1]SBOM!$F:$G, 2, FALSE), VLOOKUP(VALUE($C184), [1]SBOM!$F:$G, 2, FALSE)), "")</f>
        <v>FlowArt: Dot-By-Letter, Into the Deep [Metallic ink]</v>
      </c>
      <c r="E184">
        <v>12</v>
      </c>
      <c r="F184">
        <v>5</v>
      </c>
    </row>
    <row r="185" spans="1:6">
      <c r="A185" t="s">
        <v>83</v>
      </c>
      <c r="B185">
        <v>8</v>
      </c>
      <c r="C185" s="2" t="s">
        <v>21</v>
      </c>
      <c r="D185" t="str">
        <f>IFERROR(IFERROR(VLOOKUP($C185, [1]SBOM!$F:$G, 2, FALSE), VLOOKUP(VALUE($C185), [1]SBOM!$F:$G, 2, FALSE)), "")</f>
        <v>FlowArt: Dot-By-Letter, Cozy Cottage</v>
      </c>
      <c r="E185">
        <v>12</v>
      </c>
      <c r="F185">
        <v>5</v>
      </c>
    </row>
    <row r="186" spans="1:6">
      <c r="A186" t="s">
        <v>83</v>
      </c>
      <c r="B186">
        <v>9</v>
      </c>
      <c r="C186" s="2" t="s">
        <v>24</v>
      </c>
      <c r="D186" t="str">
        <f>IFERROR(IFERROR(VLOOKUP($C186, [1]SBOM!$F:$G, 2, FALSE), VLOOKUP(VALUE($C186), [1]SBOM!$F:$G, 2, FALSE)), "")</f>
        <v>FlowArt: Stamp by Shape, Secret Garden</v>
      </c>
      <c r="E186">
        <v>8</v>
      </c>
      <c r="F186">
        <v>5</v>
      </c>
    </row>
    <row r="187" spans="1:6">
      <c r="A187" t="s">
        <v>83</v>
      </c>
      <c r="B187">
        <v>10</v>
      </c>
      <c r="C187" s="2" t="s">
        <v>22</v>
      </c>
      <c r="D187" t="str">
        <f>IFERROR(IFERROR(VLOOKUP($C187, [1]SBOM!$F:$G, 2, FALSE), VLOOKUP(VALUE($C187), [1]SBOM!$F:$G, 2, FALSE)), "")</f>
        <v>FlowArt: Color-to-Reveal, Foodie Fun</v>
      </c>
      <c r="E187">
        <v>8</v>
      </c>
      <c r="F187">
        <v>5</v>
      </c>
    </row>
    <row r="188" spans="1:6">
      <c r="A188" t="s">
        <v>83</v>
      </c>
      <c r="B188">
        <v>11</v>
      </c>
      <c r="C188" s="2" t="s">
        <v>68</v>
      </c>
      <c r="D188" t="str">
        <f>IFERROR(IFERROR(VLOOKUP($C188, [1]SBOM!$F:$G, 2, FALSE), VLOOKUP(VALUE($C188), [1]SBOM!$F:$G, 2, FALSE)), "")</f>
        <v>FlowArt: Dot-By-Letter, Wags &amp; Whiskers</v>
      </c>
      <c r="E188">
        <v>12</v>
      </c>
      <c r="F188">
        <v>5</v>
      </c>
    </row>
    <row r="189" spans="1:6">
      <c r="A189" t="s">
        <v>83</v>
      </c>
      <c r="B189">
        <v>12</v>
      </c>
      <c r="C189" s="2" t="s">
        <v>27</v>
      </c>
      <c r="D189" t="str">
        <f>IFERROR(IFERROR(VLOOKUP($C189, [1]SBOM!$F:$G, 2, FALSE), VLOOKUP(VALUE($C189), [1]SBOM!$F:$G, 2, FALSE)), "")</f>
        <v>FlowArt: Dot-By-Letter, Day at the Beach</v>
      </c>
      <c r="E189">
        <v>12</v>
      </c>
      <c r="F189">
        <v>5</v>
      </c>
    </row>
    <row r="190" spans="1:6">
      <c r="A190" t="s">
        <v>83</v>
      </c>
      <c r="B190">
        <v>13</v>
      </c>
      <c r="C190" s="2" t="s">
        <v>69</v>
      </c>
      <c r="D190" t="str">
        <f>IFERROR(IFERROR(VLOOKUP($C190, [1]SBOM!$F:$G, 2, FALSE), VLOOKUP(VALUE($C190), [1]SBOM!$F:$G, 2, FALSE)), "")</f>
        <v>FlowArt: Dot-By-Letter, Americana</v>
      </c>
      <c r="E190">
        <v>8</v>
      </c>
      <c r="F190">
        <v>5</v>
      </c>
    </row>
    <row r="191" spans="1:6">
      <c r="A191" t="s">
        <v>83</v>
      </c>
      <c r="B191">
        <v>14</v>
      </c>
      <c r="C191" s="2" t="s">
        <v>25</v>
      </c>
      <c r="D191" t="str">
        <f>IFERROR(IFERROR(VLOOKUP($C191, [1]SBOM!$F:$G, 2, FALSE), VLOOKUP(VALUE($C191), [1]SBOM!$F:$G, 2, FALSE)), "")</f>
        <v>FlowArt: Color-to-Reveal, Fragrant Blooms</v>
      </c>
      <c r="E191">
        <v>8</v>
      </c>
      <c r="F191">
        <v>5</v>
      </c>
    </row>
    <row r="192" spans="1:6">
      <c r="A192" t="s">
        <v>83</v>
      </c>
      <c r="B192">
        <v>15</v>
      </c>
      <c r="C192" s="2" t="s">
        <v>49</v>
      </c>
      <c r="D192" t="str">
        <f>IFERROR(IFERROR(VLOOKUP($C192, [1]SBOM!$F:$G, 2, FALSE), VLOOKUP(VALUE($C192), [1]SBOM!$F:$G, 2, FALSE)), "")</f>
        <v>FlowArt: Trace-To-Doodle, Style Your Space</v>
      </c>
      <c r="E192">
        <v>8</v>
      </c>
      <c r="F192">
        <v>5</v>
      </c>
    </row>
    <row r="193" spans="1:6">
      <c r="A193" t="s">
        <v>83</v>
      </c>
      <c r="B193">
        <v>16</v>
      </c>
      <c r="C193" s="2" t="s">
        <v>26</v>
      </c>
      <c r="D193" t="str">
        <f>IFERROR(IFERROR(VLOOKUP($C193, [1]SBOM!$F:$G, 2, FALSE), VLOOKUP(VALUE($C193), [1]SBOM!$F:$G, 2, FALSE)), "")</f>
        <v>FlowArt: Trace-By-Line, Tropical Paradise</v>
      </c>
      <c r="E193">
        <v>8</v>
      </c>
      <c r="F193">
        <v>5</v>
      </c>
    </row>
    <row r="194" spans="1:6">
      <c r="A194" t="s">
        <v>83</v>
      </c>
      <c r="B194">
        <v>17</v>
      </c>
      <c r="C194" s="2" t="s">
        <v>70</v>
      </c>
      <c r="D194" t="str">
        <f>IFERROR(IFERROR(VLOOKUP($C194, [1]SBOM!$F:$G, 2, FALSE), VLOOKUP(VALUE($C194), [1]SBOM!$F:$G, 2, FALSE)), "")</f>
        <v>FlowArt: Color-to-Reveal, Citrus Coastlines</v>
      </c>
      <c r="E194">
        <v>4</v>
      </c>
      <c r="F194">
        <v>5</v>
      </c>
    </row>
    <row r="195" spans="1:6">
      <c r="A195" t="s">
        <v>83</v>
      </c>
      <c r="B195">
        <v>18</v>
      </c>
      <c r="C195" s="2" t="s">
        <v>44</v>
      </c>
      <c r="D195" t="str">
        <f>IFERROR(IFERROR(VLOOKUP($C195, [1]SBOM!$F:$G, 2, FALSE), VLOOKUP(VALUE($C195), [1]SBOM!$F:$G, 2, FALSE)), "")</f>
        <v>FlowArt: Trace-By-Groove, Jungle Oasis</v>
      </c>
      <c r="E195">
        <v>4</v>
      </c>
      <c r="F195">
        <v>5</v>
      </c>
    </row>
    <row r="196" spans="1:6">
      <c r="A196" t="s">
        <v>83</v>
      </c>
      <c r="B196">
        <v>19</v>
      </c>
      <c r="C196" s="2" t="s">
        <v>23</v>
      </c>
      <c r="D196" t="str">
        <f>IFERROR(IFERROR(VLOOKUP($C196, [1]SBOM!$F:$G, 2, FALSE), VLOOKUP(VALUE($C196), [1]SBOM!$F:$G, 2, FALSE)), "")</f>
        <v>FlowArt: Trace-By-Line, Woodland Whimsy</v>
      </c>
      <c r="E196">
        <v>4</v>
      </c>
      <c r="F196">
        <v>5</v>
      </c>
    </row>
    <row r="197" spans="1:6">
      <c r="A197" t="s">
        <v>83</v>
      </c>
      <c r="B197">
        <v>20</v>
      </c>
      <c r="C197" s="2" t="s">
        <v>71</v>
      </c>
      <c r="D197" t="str">
        <f>IFERROR(IFERROR(VLOOKUP($C197, [1]SBOM!$F:$G, 2, FALSE), VLOOKUP(VALUE($C197), [1]SBOM!$F:$G, 2, FALSE)), "")</f>
        <v>FlowArt: Trace-By-Line, Brunch in Bloom</v>
      </c>
      <c r="E197">
        <v>4</v>
      </c>
      <c r="F197">
        <v>5</v>
      </c>
    </row>
    <row r="198" spans="1:6">
      <c r="A198" t="s">
        <v>83</v>
      </c>
      <c r="B198">
        <v>21</v>
      </c>
      <c r="C198" s="2" t="s">
        <v>72</v>
      </c>
      <c r="D198" t="str">
        <f>IFERROR(IFERROR(VLOOKUP($C198, [1]SBOM!$F:$G, 2, FALSE), VLOOKUP(VALUE($C198), [1]SBOM!$F:$G, 2, FALSE)), "")</f>
        <v>FlowArt: Trace Within, Peaceful Pause</v>
      </c>
      <c r="E198">
        <v>12</v>
      </c>
      <c r="F198">
        <v>5</v>
      </c>
    </row>
    <row r="199" spans="1:6">
      <c r="A199" t="s">
        <v>83</v>
      </c>
      <c r="B199">
        <v>22</v>
      </c>
      <c r="C199" s="2" t="s">
        <v>28</v>
      </c>
      <c r="D199" t="str">
        <f>IFERROR(IFERROR(VLOOKUP($C199, [1]SBOM!$F:$G, 2, FALSE), VLOOKUP(VALUE($C199), [1]SBOM!$F:$G, 2, FALSE)), "")</f>
        <v>FlowArt: Trace-By-Letter, Pack Your Bags</v>
      </c>
      <c r="E199">
        <v>4</v>
      </c>
      <c r="F199">
        <v>5</v>
      </c>
    </row>
    <row r="200" spans="1:6" s="1" customFormat="1">
      <c r="A200" s="1" t="s">
        <v>83</v>
      </c>
      <c r="B200" s="1">
        <v>23</v>
      </c>
      <c r="C200" s="3" t="s">
        <v>50</v>
      </c>
      <c r="D200" s="1" t="str">
        <f>IFERROR(IFERROR(VLOOKUP($C200, [1]SBOM!$F:$G, 2, FALSE), VLOOKUP(VALUE($C200), [1]SBOM!$F:$G, 2, FALSE)), "")</f>
        <v>FlowArt - Spinner Tower - Empty</v>
      </c>
      <c r="E200" s="1">
        <v>1</v>
      </c>
      <c r="F200" s="1">
        <v>0</v>
      </c>
    </row>
    <row r="201" spans="1:6">
      <c r="A201" t="s">
        <v>84</v>
      </c>
      <c r="B201">
        <v>1</v>
      </c>
      <c r="C201" s="2" t="s">
        <v>42</v>
      </c>
      <c r="D201" t="str">
        <f>IFERROR(IFERROR(VLOOKUP($C201, [1]SBOM!$F:$G, 2, FALSE), VLOOKUP(VALUE($C201), [1]SBOM!$F:$G, 2, FALSE)), "")</f>
        <v>FlowArt: Dot-By-Letter, Into the Galaxy [Metallic ink]</v>
      </c>
      <c r="E201">
        <v>8</v>
      </c>
      <c r="F201">
        <v>6.5</v>
      </c>
    </row>
    <row r="202" spans="1:6">
      <c r="A202" t="s">
        <v>84</v>
      </c>
      <c r="B202">
        <v>2</v>
      </c>
      <c r="C202" s="2" t="s">
        <v>43</v>
      </c>
      <c r="D202" t="str">
        <f>IFERROR(IFERROR(VLOOKUP($C202, [1]SBOM!$F:$G, 2, FALSE), VLOOKUP(VALUE($C202), [1]SBOM!$F:$G, 2, FALSE)), "")</f>
        <v>FlowArt: Dot-By-Letter, Into the Deep [Metallic ink]</v>
      </c>
      <c r="E202">
        <v>8</v>
      </c>
      <c r="F202">
        <v>6.5</v>
      </c>
    </row>
    <row r="203" spans="1:6">
      <c r="A203" t="s">
        <v>84</v>
      </c>
      <c r="B203">
        <v>3</v>
      </c>
      <c r="C203" s="2" t="s">
        <v>21</v>
      </c>
      <c r="D203" t="str">
        <f>IFERROR(IFERROR(VLOOKUP($C203, [1]SBOM!$F:$G, 2, FALSE), VLOOKUP(VALUE($C203), [1]SBOM!$F:$G, 2, FALSE)), "")</f>
        <v>FlowArt: Dot-By-Letter, Cozy Cottage</v>
      </c>
      <c r="E203">
        <v>4</v>
      </c>
      <c r="F203">
        <v>6.5</v>
      </c>
    </row>
    <row r="204" spans="1:6">
      <c r="A204" t="s">
        <v>84</v>
      </c>
      <c r="B204">
        <v>4</v>
      </c>
      <c r="C204" s="2" t="s">
        <v>40</v>
      </c>
      <c r="D204" t="str">
        <f>IFERROR(IFERROR(VLOOKUP($C204, [1]SBOM!$F:$G, 2, FALSE), VLOOKUP(VALUE($C204), [1]SBOM!$F:$G, 2, FALSE)), "")</f>
        <v>FlowArt: Dot-By-Letter, Botanicals</v>
      </c>
      <c r="E204">
        <v>4</v>
      </c>
      <c r="F204">
        <v>6.5</v>
      </c>
    </row>
    <row r="205" spans="1:6">
      <c r="A205" t="s">
        <v>84</v>
      </c>
      <c r="B205">
        <v>5</v>
      </c>
      <c r="C205" s="2" t="s">
        <v>41</v>
      </c>
      <c r="D205" t="str">
        <f>IFERROR(IFERROR(VLOOKUP($C205, [1]SBOM!$F:$G, 2, FALSE), VLOOKUP(VALUE($C205), [1]SBOM!$F:$G, 2, FALSE)), "")</f>
        <v>FlowArt: Dot-By-Letter, Landscapes</v>
      </c>
      <c r="E205">
        <v>4</v>
      </c>
      <c r="F205">
        <v>6.5</v>
      </c>
    </row>
    <row r="206" spans="1:6">
      <c r="A206" t="s">
        <v>84</v>
      </c>
      <c r="B206">
        <v>6</v>
      </c>
      <c r="C206" s="2" t="s">
        <v>24</v>
      </c>
      <c r="D206" t="str">
        <f>IFERROR(IFERROR(VLOOKUP($C206, [1]SBOM!$F:$G, 2, FALSE), VLOOKUP(VALUE($C206), [1]SBOM!$F:$G, 2, FALSE)), "")</f>
        <v>FlowArt: Stamp by Shape, Secret Garden</v>
      </c>
      <c r="E206">
        <v>4</v>
      </c>
      <c r="F206">
        <v>6.5</v>
      </c>
    </row>
    <row r="207" spans="1:6">
      <c r="A207" t="s">
        <v>84</v>
      </c>
      <c r="B207">
        <v>7</v>
      </c>
      <c r="C207" s="2" t="s">
        <v>22</v>
      </c>
      <c r="D207" t="str">
        <f>IFERROR(IFERROR(VLOOKUP($C207, [1]SBOM!$F:$G, 2, FALSE), VLOOKUP(VALUE($C207), [1]SBOM!$F:$G, 2, FALSE)), "")</f>
        <v>FlowArt: Color-to-Reveal, Foodie Fun</v>
      </c>
      <c r="E207">
        <v>4</v>
      </c>
      <c r="F207">
        <v>6.5</v>
      </c>
    </row>
    <row r="208" spans="1:6">
      <c r="A208" t="s">
        <v>84</v>
      </c>
      <c r="B208">
        <v>8</v>
      </c>
      <c r="C208" s="2" t="s">
        <v>47</v>
      </c>
      <c r="D208" t="str">
        <f>IFERROR(IFERROR(VLOOKUP($C208, [1]SBOM!$F:$G, 2, FALSE), VLOOKUP(VALUE($C208), [1]SBOM!$F:$G, 2, FALSE)), "")</f>
        <v>FlowArt: Color-to-Reveal, Animals</v>
      </c>
      <c r="E208">
        <v>4</v>
      </c>
      <c r="F208">
        <v>6.5</v>
      </c>
    </row>
    <row r="209" spans="1:6">
      <c r="A209" t="s">
        <v>84</v>
      </c>
      <c r="B209">
        <v>9</v>
      </c>
      <c r="C209" s="2" t="s">
        <v>26</v>
      </c>
      <c r="D209" t="str">
        <f>IFERROR(IFERROR(VLOOKUP($C209, [1]SBOM!$F:$G, 2, FALSE), VLOOKUP(VALUE($C209), [1]SBOM!$F:$G, 2, FALSE)), "")</f>
        <v>FlowArt: Trace-By-Line, Tropical Paradise</v>
      </c>
      <c r="E209">
        <v>4</v>
      </c>
      <c r="F209">
        <v>6.5</v>
      </c>
    </row>
    <row r="210" spans="1:6">
      <c r="A210" t="s">
        <v>84</v>
      </c>
      <c r="B210">
        <v>10</v>
      </c>
      <c r="C210" s="2" t="s">
        <v>49</v>
      </c>
      <c r="D210" t="str">
        <f>IFERROR(IFERROR(VLOOKUP($C210, [1]SBOM!$F:$G, 2, FALSE), VLOOKUP(VALUE($C210), [1]SBOM!$F:$G, 2, FALSE)), "")</f>
        <v>FlowArt: Trace-To-Doodle, Style Your Space</v>
      </c>
      <c r="E210">
        <v>4</v>
      </c>
      <c r="F210">
        <v>6.5</v>
      </c>
    </row>
  </sheetData>
  <autoFilter ref="A4:F210" xr:uid="{00000000-0001-0000-0000-000000000000}"/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2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2026-07-01T21:55:01Z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