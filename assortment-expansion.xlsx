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1A79E6BC-FF47-4F9F-8F32-1F29CBB5506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2" i="1" l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D126" i="1"/>
  <c r="F125" i="1"/>
  <c r="D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B6" i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11" i="1"/>
  <c r="B12" i="1" s="1"/>
  <c r="B13" i="1" s="1"/>
  <c r="D44" i="1"/>
  <c r="D42" i="1"/>
  <c r="D41" i="1"/>
  <c r="D93" i="1"/>
  <c r="D45" i="1"/>
  <c r="D73" i="1"/>
  <c r="D109" i="1"/>
  <c r="D62" i="1"/>
  <c r="D61" i="1"/>
  <c r="D16" i="1"/>
  <c r="D9" i="1"/>
  <c r="D12" i="1"/>
  <c r="D5" i="1"/>
  <c r="D6" i="1"/>
  <c r="D51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B74" i="1" l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</calcChain>
</file>

<file path=xl/sharedStrings.xml><?xml version="1.0" encoding="utf-8"?>
<sst xmlns="http://schemas.openxmlformats.org/spreadsheetml/2006/main" count="284" uniqueCount="84">
  <si>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</si>
  <si>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</si>
  <si>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</si>
  <si>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</si>
  <si>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</si>
  <si>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</si>
  <si>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</si>
  <si>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</si>
  <si>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</si>
  <si>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</si>
  <si>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</si>
  <si>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</si>
  <si>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</si>
  <si>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</si>
  <si>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</si>
  <si>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</si>
  <si>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</si>
  <si>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</si>
  <si>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</si>
  <si>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</si>
  <si>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</si>
  <si>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</si>
  <si>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</si>
  <si>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</si>
  <si>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</si>
  <si>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</si>
  <si>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</si>
  <si>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</si>
  <si>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</si>
  <si>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</si>
  <si>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</si>
  <si>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</si>
  <si>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</si>
  <si>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</si>
  <si>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</si>
  <si>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</si>
  <si>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</si>
  <si>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</si>
  <si>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</si>
  <si>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</si>
  <si>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</si>
  <si>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</si>
  <si>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</si>
  <si>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</si>
  <si>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</si>
  <si>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</si>
  <si>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</si>
  <si>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</si>
  <si>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</si>
  <si>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</si>
  <si>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</si>
  <si>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</si>
  <si>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</si>
  <si>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</si>
  <si>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</si>
  <si>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</si>
  <si>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</si>
  <si>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</si>
  <si>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</si>
  <si>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</si>
  <si>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</si>
  <si>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</si>
  <si>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</si>
  <si>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</si>
  <si>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</si>
  <si>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</si>
  <si>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</si>
  <si>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</si>
  <si>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</si>
  <si>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</si>
  <si>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</si>
  <si>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</si>
  <si>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</si>
  <si>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</si>
  <si>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</si>
  <si>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</si>
  <si>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LL-16-3224</t>
  </si>
  <si>
    <t>165005</t>
  </si>
  <si>
    <t>165008</t>
  </si>
  <si>
    <t>165012</t>
  </si>
  <si>
    <t>NEEDTOCOMEUPWITHONE</t>
  </si>
  <si>
    <t>165006</t>
  </si>
  <si>
    <t>165007</t>
  </si>
  <si>
    <t>165009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</si>
</sst>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left"/>
    </xf>
    <xf numFmtId="4" fontId="0" fillId="0" borderId="0" xfId="0" applyNumberFormat="1" applyBorder="1"/>
  </cellXfs>
  <cellStyles count="1">
    <cellStyle name="Normal" xfId="0" builtinId="0"/>
  </cellStyles>
  <dxfs count="3">
    <dxf>
      <border>
        <top/>
        <bottom style="thin">
          <color auto="1"/>
        </bottom>
        <vertical/>
        <horizontal/>
      </border>
    </dxf>
    <dxf>
      <border>
        <top style="thin">
          <color auto="1"/>
        </top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M3"/>
          <cell r="N3"/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M4"/>
          <cell r="N4"/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M49"/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M57"/>
          <cell r="N57"/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M58"/>
          <cell r="N58"/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M59"/>
          <cell r="N59"/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/>
          <cell r="N69"/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  <cell r="P82"/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  <cell r="P83"/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  <cell r="P84"/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M91"/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M100"/>
          <cell r="N100"/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M111"/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M115"/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M116"/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M117"/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M118"/>
          <cell r="N118"/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M119"/>
          <cell r="N119"/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M120"/>
          <cell r="N120"/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M121"/>
          <cell r="N121"/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M122"/>
          <cell r="N122"/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M123"/>
          <cell r="N123"/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M124"/>
          <cell r="N124"/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M125"/>
          <cell r="N125"/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M126"/>
          <cell r="N126"/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M127"/>
          <cell r="N127"/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M128"/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M129"/>
          <cell r="N129"/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M130"/>
          <cell r="N130"/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M131"/>
          <cell r="N131"/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M132"/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M133"/>
          <cell r="N133"/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M134"/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M135"/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M136"/>
          <cell r="N136"/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M137"/>
          <cell r="N137"/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M138"/>
          <cell r="N138"/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M139"/>
          <cell r="N139"/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M140"/>
          <cell r="N140"/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M141"/>
          <cell r="N141"/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  <cell r="M142"/>
          <cell r="N142"/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  <cell r="M143"/>
          <cell r="N143"/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  <cell r="M144"/>
          <cell r="N144"/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M145"/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M146"/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M147"/>
          <cell r="N147"/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/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/>
          <cell r="N151"/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M152"/>
          <cell r="N152"/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M177"/>
          <cell r="N177"/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172</v>
          </cell>
          <cell r="J196">
            <v>810076211725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M206"/>
          <cell r="N206"/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/>
          <cell r="N207"/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M209"/>
          <cell r="N209"/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M223"/>
          <cell r="N223"/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M227"/>
          <cell r="N227"/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M228"/>
          <cell r="N228"/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M229"/>
          <cell r="N229"/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M230"/>
          <cell r="N230"/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J243"/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M251"/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M252"/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M255"/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M257"/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M259"/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M260"/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M261"/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M262"/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M263"/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M264"/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M265"/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M266"/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M267"/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M268"/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M269"/>
          <cell r="N269"/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M270"/>
          <cell r="N270"/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M271"/>
          <cell r="N271"/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M272"/>
          <cell r="N272"/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M273"/>
          <cell r="N273"/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M274"/>
          <cell r="N274"/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M275"/>
          <cell r="N275"/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M276"/>
          <cell r="N276"/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M277"/>
          <cell r="N277"/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M278"/>
          <cell r="N278"/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M279"/>
          <cell r="N279"/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M286"/>
          <cell r="N286"/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J302"/>
          <cell r="K302"/>
          <cell r="L302"/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J303"/>
          <cell r="K303"/>
          <cell r="L303"/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The North Pole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LL-16-3224</v>
          </cell>
          <cell r="G359" t="str">
            <v>FlowArt: Dot-By-Letter, Everyday Inspiration</v>
          </cell>
          <cell r="H359" t="str">
            <v>Y</v>
          </cell>
          <cell r="I359" t="str">
            <v>396</v>
          </cell>
          <cell r="J359">
            <v>810076213965</v>
          </cell>
          <cell r="K359">
            <v>50810076213960</v>
          </cell>
          <cell r="L359">
            <v>30810076213966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LL-16-3225</v>
          </cell>
          <cell r="G360" t="str">
            <v>FlowArt: Dot-By-Letter, Wags &amp; Whiskers</v>
          </cell>
          <cell r="H360" t="str">
            <v>Y</v>
          </cell>
          <cell r="I360" t="str">
            <v>397</v>
          </cell>
          <cell r="J360">
            <v>810076213972</v>
          </cell>
          <cell r="K360">
            <v>50810076213977</v>
          </cell>
          <cell r="L360">
            <v>30810076213973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LL-16-3243</v>
          </cell>
          <cell r="G361" t="str">
            <v>FlowArt: Dot-By-Letter, Day at the Beach</v>
          </cell>
          <cell r="H361" t="str">
            <v>Y</v>
          </cell>
          <cell r="I361" t="str">
            <v>417</v>
          </cell>
          <cell r="J361">
            <v>810076214177</v>
          </cell>
          <cell r="K361">
            <v>50810076214172</v>
          </cell>
          <cell r="L361">
            <v>30810076214178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LL-16-3493</v>
          </cell>
          <cell r="G362" t="str">
            <v>FlowArt: Dot-By-Letter, Slow Summer</v>
          </cell>
          <cell r="H362" t="str">
            <v>Y</v>
          </cell>
          <cell r="I362" t="str">
            <v>676</v>
          </cell>
          <cell r="J362">
            <v>810076216768</v>
          </cell>
          <cell r="K362">
            <v>50810076216763</v>
          </cell>
          <cell r="L362">
            <v>30810076216769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LL-16-3407</v>
          </cell>
          <cell r="G363" t="str">
            <v>FlowArt: Dot-By-Letter, Farmers Market Morning [Pastel]</v>
          </cell>
          <cell r="H363" t="str">
            <v>Y</v>
          </cell>
          <cell r="I363" t="str">
            <v>607</v>
          </cell>
          <cell r="J363">
            <v>810076216072</v>
          </cell>
          <cell r="K363">
            <v>50810076216077</v>
          </cell>
          <cell r="L363">
            <v>30810076216073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M397"/>
          <cell r="N397"/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M409"/>
          <cell r="N409"/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M436"/>
          <cell r="N436"/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M437"/>
          <cell r="N437"/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M438"/>
          <cell r="N438"/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M472"/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M473"/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M474"/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M475"/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M476"/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M477"/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M478"/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M479"/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M480"/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M481"/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M482"/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M483"/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M484"/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M485"/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M486"/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M487"/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M488"/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M489"/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M490"/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M491"/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M492"/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M493"/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M494"/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J495"/>
          <cell r="K495"/>
          <cell r="L495"/>
          <cell r="M495"/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M496"/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M497"/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M498"/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M499"/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M500"/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M501"/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M502"/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M503"/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M504"/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M505"/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M506"/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LL-98-3500</v>
          </cell>
          <cell r="G507" t="str">
            <v>FlowArt 3Pck: Me Time + Bow + Bookshelf - VAL</v>
          </cell>
          <cell r="H507" t="str">
            <v>Y</v>
          </cell>
          <cell r="I507" t="str">
            <v>683</v>
          </cell>
          <cell r="J507">
            <v>810076216836</v>
          </cell>
          <cell r="K507">
            <v>50810076216831</v>
          </cell>
          <cell r="L507">
            <v>30810076216837</v>
          </cell>
          <cell r="M507"/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LL-98-3516</v>
          </cell>
          <cell r="G508" t="str">
            <v>FlowArt 3Pck: Lovestruck + Sweetened + Inspo</v>
          </cell>
          <cell r="H508" t="str">
            <v>Y</v>
          </cell>
          <cell r="I508" t="str">
            <v>714</v>
          </cell>
          <cell r="J508">
            <v>810076217147</v>
          </cell>
          <cell r="K508">
            <v>50810076217142</v>
          </cell>
          <cell r="L508">
            <v>30810076217148</v>
          </cell>
          <cell r="M508"/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LL-98-3517</v>
          </cell>
          <cell r="G509" t="str">
            <v>FlowArt 3Pck: Birdsong + Sparkle + Deep</v>
          </cell>
          <cell r="H509" t="str">
            <v>Y</v>
          </cell>
          <cell r="I509" t="str">
            <v>715</v>
          </cell>
          <cell r="J509">
            <v>810076217154</v>
          </cell>
          <cell r="K509">
            <v>50810076217159</v>
          </cell>
          <cell r="L509">
            <v>30810076217155</v>
          </cell>
          <cell r="M509"/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LL-98-3518</v>
          </cell>
          <cell r="G510" t="str">
            <v>FlowArt 3Pck: Blooms + Coastline + Animals</v>
          </cell>
          <cell r="H510" t="str">
            <v>Y</v>
          </cell>
          <cell r="I510" t="str">
            <v>716</v>
          </cell>
          <cell r="J510">
            <v>810076217161</v>
          </cell>
          <cell r="K510">
            <v>50810076217166</v>
          </cell>
          <cell r="L510">
            <v>30810076217162</v>
          </cell>
          <cell r="M510"/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LL-98-3519</v>
          </cell>
          <cell r="G511" t="str">
            <v>FlowArt 3Pck: Pets + Horizons + TPara</v>
          </cell>
          <cell r="H511" t="str">
            <v>Y</v>
          </cell>
          <cell r="I511" t="str">
            <v>717</v>
          </cell>
          <cell r="J511">
            <v>810076217178</v>
          </cell>
          <cell r="K511">
            <v>50810076217173</v>
          </cell>
          <cell r="L511">
            <v>30810076217179</v>
          </cell>
          <cell r="M511"/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LL-98-3520</v>
          </cell>
          <cell r="G512" t="str">
            <v>FlowArt 3Pck: Pets + Horizons + Botanicals</v>
          </cell>
          <cell r="H512" t="str">
            <v>Y</v>
          </cell>
          <cell r="I512" t="str">
            <v>718</v>
          </cell>
          <cell r="J512">
            <v>810076217185</v>
          </cell>
          <cell r="K512">
            <v>50810076217180</v>
          </cell>
          <cell r="L512">
            <v>30810076217186</v>
          </cell>
          <cell r="M512"/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LL-98-3521</v>
          </cell>
          <cell r="G513" t="str">
            <v>FlowArt 3Pck: Me Time + Bow + Bookshelf</v>
          </cell>
          <cell r="H513" t="str">
            <v>Y</v>
          </cell>
          <cell r="I513" t="str">
            <v>719</v>
          </cell>
          <cell r="J513">
            <v>810076217192</v>
          </cell>
          <cell r="K513">
            <v>50810076217197</v>
          </cell>
          <cell r="L513">
            <v>30810076217193</v>
          </cell>
          <cell r="M513"/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LL-98-3522</v>
          </cell>
          <cell r="G514" t="str">
            <v>FlowArt 3Pck: Jungle + Desert + TPara</v>
          </cell>
          <cell r="H514" t="str">
            <v>Y</v>
          </cell>
          <cell r="I514" t="str">
            <v>720</v>
          </cell>
          <cell r="J514">
            <v>810076217208</v>
          </cell>
          <cell r="K514">
            <v>50810076217203</v>
          </cell>
          <cell r="L514">
            <v>30810076217209</v>
          </cell>
          <cell r="M514"/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LL-98-3523</v>
          </cell>
          <cell r="G515" t="str">
            <v>FlowArt 3Pck: Homegrown + Cheeky + Home Sweet Home</v>
          </cell>
          <cell r="H515" t="str">
            <v>Y</v>
          </cell>
          <cell r="I515" t="str">
            <v>721</v>
          </cell>
          <cell r="J515">
            <v>810076217215</v>
          </cell>
          <cell r="K515">
            <v>50810076217210</v>
          </cell>
          <cell r="L515">
            <v>30810076217216</v>
          </cell>
          <cell r="M515"/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LL-98-3524</v>
          </cell>
          <cell r="G516" t="str">
            <v>FlowArt 3Pck: Homegrown + Cheeky + Tranquil Waters</v>
          </cell>
          <cell r="H516" t="str">
            <v>Y</v>
          </cell>
          <cell r="I516" t="str">
            <v>722</v>
          </cell>
          <cell r="J516">
            <v>810076217222</v>
          </cell>
          <cell r="K516">
            <v>50810076217227</v>
          </cell>
          <cell r="L516">
            <v>30810076217223</v>
          </cell>
          <cell r="M516"/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LL-98-3525</v>
          </cell>
          <cell r="G517" t="str">
            <v>FlowArt 3Pck: Stitch Line 1 + Stitch Line 2 + Embroidery</v>
          </cell>
          <cell r="H517" t="str">
            <v>Y</v>
          </cell>
          <cell r="I517" t="str">
            <v>723</v>
          </cell>
          <cell r="J517">
            <v>810076217239</v>
          </cell>
          <cell r="K517">
            <v>50810076217234</v>
          </cell>
          <cell r="L517">
            <v>30810076217230</v>
          </cell>
          <cell r="M517"/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LL-98-3526</v>
          </cell>
          <cell r="G518" t="str">
            <v>FlowArt 3Pck: Lace + Quilting + Homegrown</v>
          </cell>
          <cell r="H518" t="str">
            <v>Y</v>
          </cell>
          <cell r="I518" t="str">
            <v>724</v>
          </cell>
          <cell r="J518">
            <v>810076217246</v>
          </cell>
          <cell r="K518">
            <v>50810076217241</v>
          </cell>
          <cell r="L518">
            <v>30810076217247</v>
          </cell>
          <cell r="M518"/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LL-98-3527</v>
          </cell>
          <cell r="G519" t="str">
            <v>FlowArt 3Pck: Butterfly + Botanicals + Birdsong [Metallic]</v>
          </cell>
          <cell r="H519" t="str">
            <v>Y</v>
          </cell>
          <cell r="I519" t="str">
            <v>725</v>
          </cell>
          <cell r="J519">
            <v>810076217253</v>
          </cell>
          <cell r="K519">
            <v>50810076217258</v>
          </cell>
          <cell r="L519">
            <v>30810076217254</v>
          </cell>
          <cell r="M519"/>
          <cell r="N519">
            <v>14</v>
          </cell>
          <cell r="O519">
            <v>29.99</v>
          </cell>
          <cell r="P519">
            <v>14.994999999999999</v>
          </cell>
        </row>
        <row r="520">
          <cell r="F520" t="str">
            <v>LL-98-3289</v>
          </cell>
          <cell r="G520" t="str">
            <v>FlowArt 3Pck: Beach + Americana + Deep [3243 + 3154 + 3153] - TEMP</v>
          </cell>
          <cell r="H520" t="str">
            <v>Y</v>
          </cell>
          <cell r="I520" t="str">
            <v>471</v>
          </cell>
          <cell r="J520">
            <v>810076214719</v>
          </cell>
          <cell r="K520">
            <v>50810076214714</v>
          </cell>
          <cell r="L520">
            <v>30810076214710</v>
          </cell>
          <cell r="M520"/>
          <cell r="N520">
            <v>14</v>
          </cell>
          <cell r="O520">
            <v>29.99</v>
          </cell>
          <cell r="P520">
            <v>14.994999999999999</v>
          </cell>
        </row>
        <row r="521">
          <cell r="F521" t="str">
            <v>LL-98-3399</v>
          </cell>
          <cell r="G521" t="str">
            <v>FlowArt 3Pck:  Secret Garden + Jungle Oasis + Into the Deep [Metallic ink] - TEMP</v>
          </cell>
          <cell r="H521" t="str">
            <v>N</v>
          </cell>
          <cell r="I521" t="str">
            <v>601</v>
          </cell>
          <cell r="J521">
            <v>810076216010</v>
          </cell>
          <cell r="K521">
            <v>50810076216015</v>
          </cell>
          <cell r="L521">
            <v>30810076216011</v>
          </cell>
          <cell r="M521"/>
          <cell r="N521">
            <v>14</v>
          </cell>
          <cell r="O521">
            <v>29.99</v>
          </cell>
          <cell r="P521">
            <v>14.994999999999999</v>
          </cell>
        </row>
        <row r="522">
          <cell r="F522" t="str">
            <v>LL-98-3400</v>
          </cell>
          <cell r="G522" t="str">
            <v>FlowArt 3Pck:  Tropical Paradise + Americana + Day at the Beach - TEMP</v>
          </cell>
          <cell r="H522" t="str">
            <v>N</v>
          </cell>
          <cell r="I522" t="str">
            <v>602</v>
          </cell>
          <cell r="J522">
            <v>810076216027</v>
          </cell>
          <cell r="K522">
            <v>50810076216022</v>
          </cell>
          <cell r="L522">
            <v>30810076216028</v>
          </cell>
          <cell r="M522"/>
          <cell r="N522">
            <v>14</v>
          </cell>
          <cell r="O522">
            <v>29.99</v>
          </cell>
          <cell r="P522">
            <v>14.994999999999999</v>
          </cell>
        </row>
        <row r="523">
          <cell r="F523" t="str">
            <v>LL-98-3401</v>
          </cell>
          <cell r="G523" t="str">
            <v>FlowArt 3Pck:  Foodie Fun + Into the Galaxy (Metallic ink] + Tropical Paradise - TEMP</v>
          </cell>
          <cell r="H523" t="str">
            <v>N</v>
          </cell>
          <cell r="I523" t="str">
            <v>603</v>
          </cell>
          <cell r="J523">
            <v>810076216034</v>
          </cell>
          <cell r="K523">
            <v>50810076216039</v>
          </cell>
          <cell r="L523">
            <v>30810076216035</v>
          </cell>
          <cell r="M523"/>
          <cell r="N523">
            <v>14</v>
          </cell>
          <cell r="O523">
            <v>29.99</v>
          </cell>
          <cell r="P523">
            <v>14.994999999999999</v>
          </cell>
        </row>
        <row r="524">
          <cell r="F524" t="str">
            <v>LL-98-3402</v>
          </cell>
          <cell r="G524" t="str">
            <v>FlowArt 3Pck:  Cozy Cottage + Landscapes + Botanicals - TEMP</v>
          </cell>
          <cell r="H524" t="str">
            <v>N</v>
          </cell>
          <cell r="I524" t="str">
            <v>604</v>
          </cell>
          <cell r="J524">
            <v>810076216041</v>
          </cell>
          <cell r="K524">
            <v>50810076216046</v>
          </cell>
          <cell r="L524">
            <v>30810076216042</v>
          </cell>
          <cell r="M524"/>
          <cell r="N524">
            <v>14</v>
          </cell>
          <cell r="O524">
            <v>29.99</v>
          </cell>
          <cell r="P524">
            <v>14.994999999999999</v>
          </cell>
        </row>
        <row r="525">
          <cell r="F525" t="str">
            <v>LL-98-3403</v>
          </cell>
          <cell r="G525" t="str">
            <v>FlowArt 3Pck:  Everyday Inspiration + Style Your Space + Lovestruck - TEMP</v>
          </cell>
          <cell r="H525" t="str">
            <v>N</v>
          </cell>
          <cell r="I525" t="str">
            <v>605</v>
          </cell>
          <cell r="J525">
            <v>810076216058</v>
          </cell>
          <cell r="K525">
            <v>50810076216053</v>
          </cell>
          <cell r="L525">
            <v>30810076216059</v>
          </cell>
          <cell r="M525"/>
          <cell r="N525">
            <v>14</v>
          </cell>
          <cell r="O525">
            <v>29.99</v>
          </cell>
          <cell r="P525">
            <v>14.994999999999999</v>
          </cell>
        </row>
        <row r="526">
          <cell r="F526" t="str">
            <v>LL-98-3404</v>
          </cell>
          <cell r="G526" t="str">
            <v>FlowArt 3Pck:  Americana + Pack Your Bags + Desert Dreams - TEMP</v>
          </cell>
          <cell r="H526" t="str">
            <v>N</v>
          </cell>
          <cell r="I526" t="str">
            <v>606</v>
          </cell>
          <cell r="J526">
            <v>810076216065</v>
          </cell>
          <cell r="K526">
            <v>50810076216060</v>
          </cell>
          <cell r="L526">
            <v>30810076216066</v>
          </cell>
          <cell r="M526"/>
          <cell r="N526">
            <v>14</v>
          </cell>
          <cell r="O526">
            <v>29.99</v>
          </cell>
          <cell r="P526">
            <v>14.994999999999999</v>
          </cell>
        </row>
        <row r="527">
          <cell r="F527" t="str">
            <v>LL-98-3497</v>
          </cell>
          <cell r="G527" t="str">
            <v>FlowArt 3Pck: Moonlit + Majestic + Wags</v>
          </cell>
          <cell r="H527" t="str">
            <v>Y</v>
          </cell>
          <cell r="I527" t="str">
            <v>680</v>
          </cell>
          <cell r="J527">
            <v>810076216805</v>
          </cell>
          <cell r="K527">
            <v>50810076216800</v>
          </cell>
          <cell r="L527">
            <v>30810076216806</v>
          </cell>
          <cell r="M527"/>
          <cell r="N527">
            <v>14</v>
          </cell>
          <cell r="O527">
            <v>29.99</v>
          </cell>
          <cell r="P527">
            <v>14.994999999999999</v>
          </cell>
        </row>
        <row r="528">
          <cell r="F528" t="str">
            <v>LL-98-3498</v>
          </cell>
          <cell r="G528" t="str">
            <v>FlowArt 3Pck: Galaxy + Deep + Botanicals</v>
          </cell>
          <cell r="H528" t="str">
            <v>Y</v>
          </cell>
          <cell r="I528" t="str">
            <v>681</v>
          </cell>
          <cell r="J528">
            <v>810076216812</v>
          </cell>
          <cell r="K528">
            <v>50810076216817</v>
          </cell>
          <cell r="L528">
            <v>30810076216813</v>
          </cell>
          <cell r="M528"/>
          <cell r="N528">
            <v>14</v>
          </cell>
          <cell r="O528">
            <v>29.99</v>
          </cell>
          <cell r="P528">
            <v>14.994999999999999</v>
          </cell>
        </row>
        <row r="529">
          <cell r="F529" t="str">
            <v>LL-98-3499</v>
          </cell>
          <cell r="G529" t="str">
            <v>FlowArt 3Pck: Inspo + Cottage + Landscapes</v>
          </cell>
          <cell r="H529" t="str">
            <v>Y</v>
          </cell>
          <cell r="I529" t="str">
            <v>682</v>
          </cell>
          <cell r="J529">
            <v>810076216829</v>
          </cell>
          <cell r="K529">
            <v>50810076216824</v>
          </cell>
          <cell r="L529">
            <v>30810076216820</v>
          </cell>
          <cell r="M529"/>
          <cell r="N529">
            <v>14</v>
          </cell>
          <cell r="O529">
            <v>29.99</v>
          </cell>
          <cell r="P529">
            <v>14.994999999999999</v>
          </cell>
        </row>
        <row r="530">
          <cell r="F530" t="str">
            <v>LL-98-3032</v>
          </cell>
          <cell r="G530" t="str">
            <v>FlowArt 4PK - Mix A (165009+165008+165001+165014)</v>
          </cell>
          <cell r="H530" t="str">
            <v>N</v>
          </cell>
          <cell r="I530" t="str">
            <v>190</v>
          </cell>
          <cell r="J530">
            <v>810076211909</v>
          </cell>
          <cell r="K530">
            <v>50810076211904</v>
          </cell>
          <cell r="L530">
            <v>30810076211900</v>
          </cell>
          <cell r="M530"/>
          <cell r="N530">
            <v>12</v>
          </cell>
          <cell r="O530">
            <v>49.99</v>
          </cell>
          <cell r="P530">
            <v>24.995000000000001</v>
          </cell>
        </row>
        <row r="531">
          <cell r="F531" t="str">
            <v>LL-98-3033</v>
          </cell>
          <cell r="G531" t="str">
            <v>FlowArt 4PK - Mix B (165006+165005+165007+165012)</v>
          </cell>
          <cell r="H531" t="str">
            <v>N</v>
          </cell>
          <cell r="I531" t="str">
            <v>191</v>
          </cell>
          <cell r="J531">
            <v>810076211916</v>
          </cell>
          <cell r="K531">
            <v>50810076211911</v>
          </cell>
          <cell r="L531">
            <v>30810076211917</v>
          </cell>
          <cell r="M531"/>
          <cell r="N531">
            <v>12</v>
          </cell>
          <cell r="O531">
            <v>49.99</v>
          </cell>
          <cell r="P531">
            <v>24.995000000000001</v>
          </cell>
        </row>
        <row r="532">
          <cell r="F532" t="str">
            <v>LL-98-3092</v>
          </cell>
          <cell r="G532" t="str">
            <v>FlowArt 4PK - Mix C (165001+165014+165012+165008)</v>
          </cell>
          <cell r="H532" t="str">
            <v>N</v>
          </cell>
          <cell r="I532" t="str">
            <v>224</v>
          </cell>
          <cell r="J532">
            <v>810076212241</v>
          </cell>
          <cell r="K532">
            <v>50810076212246</v>
          </cell>
          <cell r="L532">
            <v>30810076212242</v>
          </cell>
          <cell r="M532"/>
          <cell r="N532">
            <v>12</v>
          </cell>
          <cell r="O532">
            <v>49.99</v>
          </cell>
          <cell r="P532">
            <v>24.995000000000001</v>
          </cell>
        </row>
        <row r="533">
          <cell r="F533" t="str">
            <v>LL-25-3416</v>
          </cell>
          <cell r="G533" t="str">
            <v>Scented Palm Calms Plush - Sweet Dreams</v>
          </cell>
          <cell r="H533" t="str">
            <v>N</v>
          </cell>
          <cell r="I533" t="str">
            <v>629</v>
          </cell>
          <cell r="J533">
            <v>810076216294</v>
          </cell>
          <cell r="K533">
            <v>50810076216299</v>
          </cell>
          <cell r="L533">
            <v>30810076216295</v>
          </cell>
          <cell r="M533">
            <v>4</v>
          </cell>
          <cell r="N533">
            <v>16</v>
          </cell>
          <cell r="O533">
            <v>14.99</v>
          </cell>
          <cell r="P533">
            <v>7.4950000000000001</v>
          </cell>
        </row>
        <row r="534">
          <cell r="F534" t="str">
            <v>LL-25-3421</v>
          </cell>
          <cell r="G534" t="str">
            <v>Scented Palm Calms Plush - Woodland Retreat</v>
          </cell>
          <cell r="H534" t="str">
            <v>N</v>
          </cell>
          <cell r="I534" t="str">
            <v>630</v>
          </cell>
          <cell r="J534">
            <v>810076216300</v>
          </cell>
          <cell r="K534">
            <v>50810076216305</v>
          </cell>
          <cell r="L534">
            <v>30810076216301</v>
          </cell>
          <cell r="M534">
            <v>4</v>
          </cell>
          <cell r="N534">
            <v>16</v>
          </cell>
          <cell r="O534">
            <v>14.99</v>
          </cell>
          <cell r="P534">
            <v>7.4950000000000001</v>
          </cell>
        </row>
        <row r="535">
          <cell r="F535" t="str">
            <v>LL-25-3463</v>
          </cell>
          <cell r="G535" t="str">
            <v>Scented Palm Calms Plush - Rest &amp; Restore</v>
          </cell>
          <cell r="H535" t="str">
            <v>N</v>
          </cell>
          <cell r="I535" t="str">
            <v>662</v>
          </cell>
          <cell r="J535">
            <v>810076216621</v>
          </cell>
          <cell r="K535">
            <v>50810076216626</v>
          </cell>
          <cell r="L535">
            <v>30810076216622</v>
          </cell>
          <cell r="M535">
            <v>4</v>
          </cell>
          <cell r="N535">
            <v>16</v>
          </cell>
          <cell r="O535">
            <v>14.99</v>
          </cell>
          <cell r="P535">
            <v>7.4950000000000001</v>
          </cell>
        </row>
        <row r="536">
          <cell r="F536" t="str">
            <v>LL-25-3417</v>
          </cell>
          <cell r="G536" t="str">
            <v>Scented Palm Calms Non-Plush - #2</v>
          </cell>
          <cell r="H536" t="str">
            <v>N</v>
          </cell>
          <cell r="I536" t="str">
            <v>631</v>
          </cell>
          <cell r="J536">
            <v>810076216317</v>
          </cell>
          <cell r="K536">
            <v>50810076216312</v>
          </cell>
          <cell r="L536">
            <v>30810076216318</v>
          </cell>
          <cell r="M536">
            <v>4</v>
          </cell>
          <cell r="N536">
            <v>16</v>
          </cell>
          <cell r="O536">
            <v>14.99</v>
          </cell>
          <cell r="P536">
            <v>7.4950000000000001</v>
          </cell>
        </row>
        <row r="537">
          <cell r="F537" t="str">
            <v>LL-20-3513</v>
          </cell>
          <cell r="G537" t="str">
            <v>FlowArt: Mini - #1 WMT - SPECIAL BUY</v>
          </cell>
          <cell r="H537" t="str">
            <v>N</v>
          </cell>
          <cell r="I537" t="str">
            <v>712</v>
          </cell>
          <cell r="J537">
            <v>810076217123</v>
          </cell>
          <cell r="K537">
            <v>50810076217128</v>
          </cell>
          <cell r="L537">
            <v>30810076217124</v>
          </cell>
          <cell r="M537">
            <v>6</v>
          </cell>
          <cell r="N537">
            <v>24</v>
          </cell>
          <cell r="O537">
            <v>6.97</v>
          </cell>
          <cell r="P537">
            <v>3.4849999999999999</v>
          </cell>
        </row>
        <row r="538">
          <cell r="F538" t="str">
            <v>LL-20-3514</v>
          </cell>
          <cell r="G538" t="str">
            <v>FlowArt: Mini - #2 WMT - SPECIAL BUY</v>
          </cell>
          <cell r="H538" t="str">
            <v>N</v>
          </cell>
          <cell r="I538" t="str">
            <v>713</v>
          </cell>
          <cell r="J538">
            <v>810076217130</v>
          </cell>
          <cell r="K538">
            <v>50810076217135</v>
          </cell>
          <cell r="L538">
            <v>30810076217131</v>
          </cell>
          <cell r="M538">
            <v>6</v>
          </cell>
          <cell r="N538">
            <v>24</v>
          </cell>
          <cell r="O538">
            <v>6.97</v>
          </cell>
          <cell r="P538">
            <v>3.4849999999999999</v>
          </cell>
        </row>
        <row r="539">
          <cell r="F539" t="str">
            <v>LL-20-3501</v>
          </cell>
          <cell r="G539" t="str">
            <v>FlowArt: Mini DbL - #1 WMT</v>
          </cell>
          <cell r="H539" t="str">
            <v>N</v>
          </cell>
          <cell r="I539" t="str">
            <v>698</v>
          </cell>
          <cell r="J539">
            <v>810076216980</v>
          </cell>
          <cell r="K539">
            <v>50810076216985</v>
          </cell>
          <cell r="L539">
            <v>30810076216981</v>
          </cell>
          <cell r="M539">
            <v>6</v>
          </cell>
          <cell r="N539">
            <v>24</v>
          </cell>
          <cell r="O539">
            <v>6.97</v>
          </cell>
          <cell r="P539">
            <v>3.4849999999999999</v>
          </cell>
        </row>
        <row r="540">
          <cell r="F540" t="str">
            <v>LL-20-3502</v>
          </cell>
          <cell r="G540" t="str">
            <v>FlowArt: Mini DbL - #2 WMT</v>
          </cell>
          <cell r="H540" t="str">
            <v>N</v>
          </cell>
          <cell r="I540" t="str">
            <v>699</v>
          </cell>
          <cell r="J540">
            <v>810076216997</v>
          </cell>
          <cell r="K540">
            <v>50810076216992</v>
          </cell>
          <cell r="L540">
            <v>30810076216998</v>
          </cell>
          <cell r="M540">
            <v>6</v>
          </cell>
          <cell r="N540">
            <v>24</v>
          </cell>
          <cell r="O540">
            <v>6.97</v>
          </cell>
          <cell r="P540">
            <v>3.4849999999999999</v>
          </cell>
        </row>
        <row r="541">
          <cell r="F541" t="str">
            <v>LL-20-3503</v>
          </cell>
          <cell r="G541" t="str">
            <v>FlowArt: Mini TbL - #3 WMT</v>
          </cell>
          <cell r="H541" t="str">
            <v>N</v>
          </cell>
          <cell r="I541" t="str">
            <v>700</v>
          </cell>
          <cell r="J541">
            <v>810076217000</v>
          </cell>
          <cell r="K541">
            <v>50810076217005</v>
          </cell>
          <cell r="L541">
            <v>30810076217001</v>
          </cell>
          <cell r="M541">
            <v>6</v>
          </cell>
          <cell r="N541">
            <v>24</v>
          </cell>
          <cell r="O541">
            <v>6.97</v>
          </cell>
          <cell r="P541">
            <v>3.4849999999999999</v>
          </cell>
        </row>
        <row r="542">
          <cell r="F542" t="str">
            <v>LL-20-3504</v>
          </cell>
          <cell r="G542" t="str">
            <v>FlowArt: Mini TbL - #4 WMT</v>
          </cell>
          <cell r="H542" t="str">
            <v>N</v>
          </cell>
          <cell r="I542" t="str">
            <v>701</v>
          </cell>
          <cell r="J542">
            <v>810076217017</v>
          </cell>
          <cell r="K542">
            <v>50810076217012</v>
          </cell>
          <cell r="L542">
            <v>30810076217018</v>
          </cell>
          <cell r="M542">
            <v>6</v>
          </cell>
          <cell r="N542">
            <v>24</v>
          </cell>
          <cell r="O542">
            <v>6.97</v>
          </cell>
          <cell r="P542">
            <v>3.4849999999999999</v>
          </cell>
        </row>
        <row r="543">
          <cell r="F543" t="str">
            <v>LL-16-3505</v>
          </cell>
          <cell r="G543" t="str">
            <v>FlowArt: DbL  - #1 WMT</v>
          </cell>
          <cell r="H543" t="str">
            <v>N</v>
          </cell>
          <cell r="I543" t="str">
            <v>702</v>
          </cell>
          <cell r="J543">
            <v>810076217024</v>
          </cell>
          <cell r="K543">
            <v>50810076217029</v>
          </cell>
          <cell r="L543">
            <v>30810076217025</v>
          </cell>
          <cell r="M543">
            <v>4</v>
          </cell>
          <cell r="N543">
            <v>12</v>
          </cell>
          <cell r="O543">
            <v>9.94</v>
          </cell>
          <cell r="P543">
            <v>4.97</v>
          </cell>
        </row>
        <row r="544">
          <cell r="F544" t="str">
            <v>LL-16-3506</v>
          </cell>
          <cell r="G544" t="str">
            <v>FlowArt: DbL Metallic - #2 WMT</v>
          </cell>
          <cell r="H544" t="str">
            <v>N</v>
          </cell>
          <cell r="I544" t="str">
            <v>703</v>
          </cell>
          <cell r="J544">
            <v>810076217031</v>
          </cell>
          <cell r="K544">
            <v>50810076217036</v>
          </cell>
          <cell r="L544">
            <v>30810076217032</v>
          </cell>
          <cell r="M544">
            <v>4</v>
          </cell>
          <cell r="N544">
            <v>12</v>
          </cell>
          <cell r="O544">
            <v>9.94</v>
          </cell>
          <cell r="P544">
            <v>4.97</v>
          </cell>
        </row>
        <row r="545">
          <cell r="F545" t="str">
            <v>LL-16-3507</v>
          </cell>
          <cell r="G545" t="str">
            <v>FlowArt: Embroidery #3 - WMT</v>
          </cell>
          <cell r="H545" t="str">
            <v>N</v>
          </cell>
          <cell r="I545" t="str">
            <v>704</v>
          </cell>
          <cell r="J545">
            <v>810076217048</v>
          </cell>
          <cell r="K545">
            <v>50810076217043</v>
          </cell>
          <cell r="L545">
            <v>30810076217049</v>
          </cell>
          <cell r="M545">
            <v>4</v>
          </cell>
          <cell r="N545">
            <v>12</v>
          </cell>
          <cell r="O545">
            <v>9.94</v>
          </cell>
          <cell r="P545">
            <v>4.97</v>
          </cell>
        </row>
        <row r="546">
          <cell r="F546" t="str">
            <v>LL-16-3508</v>
          </cell>
          <cell r="G546" t="str">
            <v>FlowArt:  Stitch-by-Line - #4 WMT</v>
          </cell>
          <cell r="H546" t="str">
            <v>N</v>
          </cell>
          <cell r="I546" t="str">
            <v>705</v>
          </cell>
          <cell r="J546">
            <v>810076217055</v>
          </cell>
          <cell r="K546">
            <v>50810076217050</v>
          </cell>
          <cell r="L546">
            <v>30810076217056</v>
          </cell>
          <cell r="M546">
            <v>4</v>
          </cell>
          <cell r="N546">
            <v>12</v>
          </cell>
          <cell r="O546">
            <v>9.94</v>
          </cell>
          <cell r="P546">
            <v>4.97</v>
          </cell>
        </row>
        <row r="547">
          <cell r="F547" t="str">
            <v>LL-16-3509</v>
          </cell>
          <cell r="G547" t="str">
            <v>FlowArt: Color - #5 WMT</v>
          </cell>
          <cell r="H547" t="str">
            <v>N</v>
          </cell>
          <cell r="I547" t="str">
            <v>706</v>
          </cell>
          <cell r="J547">
            <v>810076217062</v>
          </cell>
          <cell r="K547">
            <v>50810076217067</v>
          </cell>
          <cell r="L547">
            <v>30810076217063</v>
          </cell>
          <cell r="M547">
            <v>4</v>
          </cell>
          <cell r="N547">
            <v>12</v>
          </cell>
          <cell r="O547">
            <v>9.94</v>
          </cell>
          <cell r="P547">
            <v>4.97</v>
          </cell>
        </row>
        <row r="548">
          <cell r="F548" t="str">
            <v>LL-16-3510</v>
          </cell>
          <cell r="G548" t="str">
            <v>FlowArt: Color - #6 WMT</v>
          </cell>
          <cell r="H548" t="str">
            <v>N</v>
          </cell>
          <cell r="I548" t="str">
            <v>707</v>
          </cell>
          <cell r="J548">
            <v>810076217079</v>
          </cell>
          <cell r="K548">
            <v>50810076217074</v>
          </cell>
          <cell r="L548">
            <v>30810076217070</v>
          </cell>
          <cell r="M548">
            <v>4</v>
          </cell>
          <cell r="N548">
            <v>12</v>
          </cell>
          <cell r="O548">
            <v>9.94</v>
          </cell>
          <cell r="P548">
            <v>4.97</v>
          </cell>
        </row>
        <row r="549">
          <cell r="F549" t="str">
            <v>LL-16-3511</v>
          </cell>
          <cell r="G549" t="str">
            <v>FlowArt: TbL - #7 WMT</v>
          </cell>
          <cell r="H549" t="str">
            <v>N</v>
          </cell>
          <cell r="I549" t="str">
            <v>708</v>
          </cell>
          <cell r="J549">
            <v>810076217086</v>
          </cell>
          <cell r="K549">
            <v>50810076217081</v>
          </cell>
          <cell r="L549">
            <v>30810076217087</v>
          </cell>
          <cell r="M549">
            <v>4</v>
          </cell>
          <cell r="N549">
            <v>12</v>
          </cell>
          <cell r="O549">
            <v>9.94</v>
          </cell>
          <cell r="P549">
            <v>4.97</v>
          </cell>
        </row>
        <row r="550">
          <cell r="F550" t="str">
            <v>LL-11-1620</v>
          </cell>
          <cell r="G550" t="str">
            <v>Visual Plug In Diffuser - SKU 1</v>
          </cell>
          <cell r="H550" t="str">
            <v>N</v>
          </cell>
          <cell r="I550" t="str">
            <v>167</v>
          </cell>
          <cell r="J550">
            <v>810076211671</v>
          </cell>
          <cell r="K550" t="str">
            <v/>
          </cell>
          <cell r="L550" t="str">
            <v/>
          </cell>
          <cell r="M550"/>
          <cell r="N550"/>
          <cell r="O550">
            <v>24.99</v>
          </cell>
          <cell r="P550">
            <v>12.494999999999999</v>
          </cell>
        </row>
        <row r="551">
          <cell r="F551" t="str">
            <v>LL-26-3005</v>
          </cell>
          <cell r="G551" t="str">
            <v>Visual Plug In Diffuser - SKU 2</v>
          </cell>
          <cell r="H551" t="str">
            <v>N</v>
          </cell>
          <cell r="I551" t="str">
            <v>168</v>
          </cell>
          <cell r="J551">
            <v>810076211688</v>
          </cell>
          <cell r="K551" t="str">
            <v/>
          </cell>
          <cell r="L551" t="str">
            <v/>
          </cell>
          <cell r="M551"/>
          <cell r="N551"/>
          <cell r="O551">
            <v>24.99</v>
          </cell>
          <cell r="P551">
            <v>12.494999999999999</v>
          </cell>
        </row>
        <row r="552">
          <cell r="F552">
            <v>989514</v>
          </cell>
          <cell r="G552" t="str">
            <v>Pencil 10pk + In Bloom Pen Diffuser Bundle</v>
          </cell>
          <cell r="H552" t="str">
            <v>Y</v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>
            <v>19.989999999999998</v>
          </cell>
          <cell r="P552">
            <v>9.9949999999999992</v>
          </cell>
        </row>
        <row r="553">
          <cell r="F553">
            <v>989525</v>
          </cell>
          <cell r="G553" t="str">
            <v>Lifelines Ocean Journal &amp; In Bloom Pen Diffuser</v>
          </cell>
          <cell r="H553" t="str">
            <v>N</v>
          </cell>
          <cell r="I553" t="str">
            <v>181</v>
          </cell>
          <cell r="J553">
            <v>810076211817</v>
          </cell>
          <cell r="K553" t="str">
            <v/>
          </cell>
          <cell r="L553" t="str">
            <v/>
          </cell>
          <cell r="N553">
            <v>24</v>
          </cell>
          <cell r="O553">
            <v>22.99</v>
          </cell>
          <cell r="P553">
            <v>11.494999999999999</v>
          </cell>
        </row>
        <row r="554">
          <cell r="F554" t="str">
            <v>11-2514-CP12</v>
          </cell>
          <cell r="G554" t="str">
            <v>Pen Diffuser with Essential Oil Blends - Herbal Garden</v>
          </cell>
          <cell r="H554" t="str">
            <v>Y</v>
          </cell>
          <cell r="I554" t="str">
            <v/>
          </cell>
          <cell r="J554" t="str">
            <v/>
          </cell>
          <cell r="K554">
            <v>60810076211208</v>
          </cell>
          <cell r="L554">
            <v>40810076211204</v>
          </cell>
          <cell r="M554">
            <v>4</v>
          </cell>
          <cell r="N554">
            <v>12</v>
          </cell>
          <cell r="O554">
            <v>12.99</v>
          </cell>
          <cell r="P554">
            <v>6.4950000000000001</v>
          </cell>
        </row>
        <row r="555">
          <cell r="F555" t="str">
            <v>11-2521-CP12</v>
          </cell>
          <cell r="G555" t="str">
            <v xml:space="preserve">Scented Lava Pen Set - 2-pack (Blue / Red) </v>
          </cell>
          <cell r="H555" t="str">
            <v>N</v>
          </cell>
          <cell r="I555" t="str">
            <v/>
          </cell>
          <cell r="J555" t="str">
            <v/>
          </cell>
          <cell r="K555">
            <v>60810076211222</v>
          </cell>
          <cell r="L555">
            <v>40810076211228</v>
          </cell>
          <cell r="M555">
            <v>4</v>
          </cell>
          <cell r="N555">
            <v>12</v>
          </cell>
          <cell r="O555">
            <v>12.99</v>
          </cell>
          <cell r="P555">
            <v>6.4950000000000001</v>
          </cell>
        </row>
        <row r="556">
          <cell r="F556" t="str">
            <v>11-2506-CP12</v>
          </cell>
          <cell r="G556" t="str">
            <v>Rub &amp; Sniff™ Scented Colored Pencils - 20-pack (Classic)</v>
          </cell>
          <cell r="H556" t="str">
            <v>N</v>
          </cell>
          <cell r="I556" t="str">
            <v/>
          </cell>
          <cell r="J556" t="str">
            <v/>
          </cell>
          <cell r="K556">
            <v>60810076210973</v>
          </cell>
          <cell r="L556">
            <v>40810076210979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LL-99-3076</v>
          </cell>
          <cell r="G557" t="str">
            <v>Target Writing Sidecap Shipper (Spring 2025)</v>
          </cell>
          <cell r="H557" t="str">
            <v>N</v>
          </cell>
          <cell r="I557" t="str">
            <v>199</v>
          </cell>
          <cell r="J557">
            <v>810076211992</v>
          </cell>
          <cell r="K557">
            <v>50810076211997</v>
          </cell>
          <cell r="L557">
            <v>30810076211993</v>
          </cell>
          <cell r="M557"/>
          <cell r="N557"/>
        </row>
        <row r="558">
          <cell r="F558" t="str">
            <v>LL-99-3077</v>
          </cell>
          <cell r="G558" t="str">
            <v>Meijer Fast Track Display (Spring 2025)</v>
          </cell>
          <cell r="H558" t="str">
            <v>N</v>
          </cell>
          <cell r="I558" t="str">
            <v>200</v>
          </cell>
          <cell r="J558">
            <v>810076212005</v>
          </cell>
          <cell r="K558">
            <v>50810076212000</v>
          </cell>
          <cell r="L558">
            <v>30810076212006</v>
          </cell>
          <cell r="M558"/>
          <cell r="N558"/>
          <cell r="O558">
            <v>0</v>
          </cell>
          <cell r="P558">
            <v>0</v>
          </cell>
        </row>
        <row r="559">
          <cell r="F559" t="str">
            <v>LL-99-3089</v>
          </cell>
          <cell r="G559" t="str">
            <v>20 Pack Pencil Tray PDQ (Empty tray in box)</v>
          </cell>
          <cell r="H559" t="str">
            <v>N</v>
          </cell>
          <cell r="I559" t="str">
            <v>221</v>
          </cell>
          <cell r="J559">
            <v>810076212210</v>
          </cell>
          <cell r="K559">
            <v>50810076212215</v>
          </cell>
          <cell r="L559">
            <v>30810076212211</v>
          </cell>
          <cell r="M559"/>
          <cell r="N559"/>
          <cell r="O559">
            <v>0</v>
          </cell>
          <cell r="P559">
            <v>0</v>
          </cell>
        </row>
        <row r="560">
          <cell r="F560" t="str">
            <v>LL-99-3090</v>
          </cell>
          <cell r="G560" t="str">
            <v>Universal Pen/Pencil PGQ (Empty tray in box)</v>
          </cell>
          <cell r="H560" t="str">
            <v>N</v>
          </cell>
          <cell r="I560" t="str">
            <v>222</v>
          </cell>
          <cell r="J560">
            <v>810076212227</v>
          </cell>
          <cell r="K560">
            <v>50810076212222</v>
          </cell>
          <cell r="L560">
            <v>30810076212228</v>
          </cell>
          <cell r="M560"/>
          <cell r="N560"/>
          <cell r="O560">
            <v>0</v>
          </cell>
          <cell r="P560">
            <v>0</v>
          </cell>
        </row>
        <row r="561">
          <cell r="F561" t="str">
            <v>LL-14-3088</v>
          </cell>
          <cell r="G561" t="str">
            <v>DIFFUSER, LED, Marble (HERBAL OIL)</v>
          </cell>
          <cell r="H561" t="str">
            <v>Y</v>
          </cell>
          <cell r="I561" t="str">
            <v>220</v>
          </cell>
          <cell r="J561">
            <v>810076212203</v>
          </cell>
          <cell r="K561">
            <v>50810076212208</v>
          </cell>
          <cell r="L561">
            <v>30810076212204</v>
          </cell>
          <cell r="M561">
            <v>3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LL-12-3161</v>
          </cell>
          <cell r="G562" t="str">
            <v>Writing Bundle [2x Lava Pen / Maze /  Highlighter] - Blue</v>
          </cell>
          <cell r="H562" t="str">
            <v>Y</v>
          </cell>
          <cell r="I562" t="str">
            <v>304</v>
          </cell>
          <cell r="J562">
            <v>810076213040</v>
          </cell>
          <cell r="K562">
            <v>50810076213045</v>
          </cell>
          <cell r="L562">
            <v>30810076213041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LL-12-3172</v>
          </cell>
          <cell r="G563" t="str">
            <v>Writing Bundle [2x Lava Pen / Maze /  Highlighter] - Dusty Pink</v>
          </cell>
          <cell r="H563" t="str">
            <v>Y</v>
          </cell>
          <cell r="I563" t="str">
            <v>316</v>
          </cell>
          <cell r="J563">
            <v>810076213163</v>
          </cell>
          <cell r="K563">
            <v>50810076213168</v>
          </cell>
          <cell r="L563">
            <v>30810076213164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LL-12-3196</v>
          </cell>
          <cell r="G564" t="str">
            <v>Writing Bundle [2x Lava Pen / Papaya /  Highlighter]</v>
          </cell>
          <cell r="H564" t="str">
            <v>Y</v>
          </cell>
          <cell r="I564" t="str">
            <v>366</v>
          </cell>
          <cell r="J564">
            <v>810076213668</v>
          </cell>
          <cell r="K564">
            <v>50810076213663</v>
          </cell>
          <cell r="L564">
            <v>30810076213669</v>
          </cell>
          <cell r="M564">
            <v>4</v>
          </cell>
          <cell r="N564">
            <v>12</v>
          </cell>
          <cell r="O564">
            <v>19.989999999999998</v>
          </cell>
          <cell r="P564">
            <v>9.9949999999999992</v>
          </cell>
        </row>
        <row r="565">
          <cell r="F565" t="str">
            <v>LL-12-3197</v>
          </cell>
          <cell r="G565" t="str">
            <v>Writing Bundle [2x Lava Pen / Gumball /  Highlighter]</v>
          </cell>
          <cell r="H565" t="str">
            <v>Y</v>
          </cell>
          <cell r="I565" t="str">
            <v>367</v>
          </cell>
          <cell r="J565">
            <v>810076213675</v>
          </cell>
          <cell r="K565">
            <v>50810076213670</v>
          </cell>
          <cell r="L565">
            <v>30810076213676</v>
          </cell>
          <cell r="M565">
            <v>4</v>
          </cell>
          <cell r="N565">
            <v>12</v>
          </cell>
          <cell r="O565">
            <v>19.989999999999998</v>
          </cell>
          <cell r="P565">
            <v>9.9949999999999992</v>
          </cell>
        </row>
        <row r="566">
          <cell r="F566" t="str">
            <v>LL-12-3215</v>
          </cell>
          <cell r="G566" t="str">
            <v>Writing Bundle [2x Lava Pen / Patch /  Highlighter] - Cozy Thoughts</v>
          </cell>
          <cell r="H566" t="str">
            <v>N</v>
          </cell>
          <cell r="I566" t="str">
            <v>387</v>
          </cell>
          <cell r="J566">
            <v>810076213873</v>
          </cell>
          <cell r="K566">
            <v>50810076213878</v>
          </cell>
          <cell r="L566">
            <v>30810076213874</v>
          </cell>
          <cell r="M566">
            <v>4</v>
          </cell>
          <cell r="N566">
            <v>12</v>
          </cell>
          <cell r="O566">
            <v>21.99</v>
          </cell>
          <cell r="P566">
            <v>10.994999999999999</v>
          </cell>
        </row>
        <row r="567">
          <cell r="F567" t="str">
            <v>LL-12-3216</v>
          </cell>
          <cell r="G567" t="str">
            <v>Writing Bundle [2x Lava Pen / Patch /  Highlighter] - Express Yourself</v>
          </cell>
          <cell r="H567" t="str">
            <v>Y</v>
          </cell>
          <cell r="I567" t="str">
            <v>388</v>
          </cell>
          <cell r="J567">
            <v>810076213880</v>
          </cell>
          <cell r="K567">
            <v>50810076213885</v>
          </cell>
          <cell r="L567">
            <v>30810076213881</v>
          </cell>
          <cell r="M567">
            <v>4</v>
          </cell>
          <cell r="N567">
            <v>12</v>
          </cell>
          <cell r="O567">
            <v>21.99</v>
          </cell>
          <cell r="P567">
            <v>10.994999999999999</v>
          </cell>
        </row>
        <row r="568">
          <cell r="F568" t="str">
            <v>LL-12-3330</v>
          </cell>
          <cell r="G568" t="str">
            <v>Writing Bundle [2x Lava Pen / Patch ] - Flowers</v>
          </cell>
          <cell r="H568" t="str">
            <v>N</v>
          </cell>
          <cell r="I568" t="str">
            <v>524</v>
          </cell>
          <cell r="J568">
            <v>810076215242</v>
          </cell>
          <cell r="K568">
            <v>50810076215247</v>
          </cell>
          <cell r="L568">
            <v>30810076215243</v>
          </cell>
          <cell r="M568">
            <v>4</v>
          </cell>
          <cell r="N568">
            <v>12</v>
          </cell>
          <cell r="O568">
            <v>19.989999999999998</v>
          </cell>
          <cell r="P568">
            <v>9.9949999999999992</v>
          </cell>
        </row>
        <row r="569">
          <cell r="F569" t="str">
            <v>LL-12-3331</v>
          </cell>
          <cell r="G569" t="str">
            <v>Writing Bundle [2x Lava Pen / Patch ] - Stacking Stones</v>
          </cell>
          <cell r="H569" t="str">
            <v>N</v>
          </cell>
          <cell r="I569" t="str">
            <v>525</v>
          </cell>
          <cell r="J569">
            <v>810076215259</v>
          </cell>
          <cell r="K569">
            <v>50810076215254</v>
          </cell>
          <cell r="L569">
            <v>30810076215250</v>
          </cell>
          <cell r="M569">
            <v>4</v>
          </cell>
          <cell r="N569">
            <v>12</v>
          </cell>
          <cell r="O569">
            <v>19.989999999999998</v>
          </cell>
          <cell r="P569">
            <v>9.9949999999999992</v>
          </cell>
        </row>
        <row r="570">
          <cell r="F570" t="str">
            <v>LL-12-3332</v>
          </cell>
          <cell r="G570" t="str">
            <v>Writing Bundle [2x Lava Pen / Patch ] - Quilts</v>
          </cell>
          <cell r="H570" t="str">
            <v>N</v>
          </cell>
          <cell r="I570" t="str">
            <v>526</v>
          </cell>
          <cell r="J570">
            <v>810076215266</v>
          </cell>
          <cell r="K570">
            <v>50810076215261</v>
          </cell>
          <cell r="L570">
            <v>30810076215267</v>
          </cell>
          <cell r="M570">
            <v>4</v>
          </cell>
          <cell r="N570">
            <v>12</v>
          </cell>
          <cell r="O570">
            <v>19.989999999999998</v>
          </cell>
          <cell r="P570">
            <v>9.9949999999999992</v>
          </cell>
        </row>
        <row r="571">
          <cell r="F571" t="str">
            <v>LL-12-3479</v>
          </cell>
          <cell r="G571" t="str">
            <v>Ebb &amp; Flow Journal + Pen Gift Set</v>
          </cell>
          <cell r="H571" t="str">
            <v>N</v>
          </cell>
          <cell r="I571" t="str">
            <v>663</v>
          </cell>
          <cell r="J571">
            <v>810076216638</v>
          </cell>
          <cell r="K571">
            <v>50810076216633</v>
          </cell>
          <cell r="L571">
            <v>30810076216639</v>
          </cell>
          <cell r="M571">
            <v>2</v>
          </cell>
          <cell r="N571">
            <v>8</v>
          </cell>
          <cell r="O571">
            <v>19.989999999999998</v>
          </cell>
          <cell r="P571">
            <v>9.9949999999999992</v>
          </cell>
        </row>
        <row r="572">
          <cell r="F572" t="str">
            <v>LL-98-3221</v>
          </cell>
          <cell r="G572" t="str">
            <v>Bead Journal Bundle - Papaya &amp; Gumball - AMZ</v>
          </cell>
          <cell r="H572" t="str">
            <v>Y</v>
          </cell>
          <cell r="I572" t="str">
            <v>393</v>
          </cell>
          <cell r="J572">
            <v>810076213934</v>
          </cell>
          <cell r="K572">
            <v>50810076213939</v>
          </cell>
          <cell r="L572">
            <v>30810076213935</v>
          </cell>
          <cell r="M572">
            <v>4</v>
          </cell>
          <cell r="N572">
            <v>12</v>
          </cell>
          <cell r="O572">
            <v>19.989999999999998</v>
          </cell>
          <cell r="P572">
            <v>9.9949999999999992</v>
          </cell>
        </row>
        <row r="573">
          <cell r="F573" t="str">
            <v>LL-20-3329</v>
          </cell>
          <cell r="G573" t="str">
            <v>Lifelines Digital Detox Kit - 2026</v>
          </cell>
          <cell r="H573" t="str">
            <v>Y</v>
          </cell>
          <cell r="I573" t="str">
            <v>523</v>
          </cell>
          <cell r="J573">
            <v>810076215235</v>
          </cell>
          <cell r="K573">
            <v>50810076215230</v>
          </cell>
          <cell r="L573">
            <v>30810076215236</v>
          </cell>
          <cell r="M573">
            <v>4</v>
          </cell>
          <cell r="N573">
            <v>12</v>
          </cell>
          <cell r="O573">
            <v>29.99</v>
          </cell>
          <cell r="P573">
            <v>14.994999999999999</v>
          </cell>
        </row>
        <row r="574">
          <cell r="F574" t="str">
            <v>LL-20-3492</v>
          </cell>
          <cell r="G574" t="str">
            <v>Lifelines Digital Detox Kit - 2026 - OP</v>
          </cell>
          <cell r="H574" t="str">
            <v>Y</v>
          </cell>
          <cell r="I574" t="str">
            <v>675</v>
          </cell>
          <cell r="J574">
            <v>810076216751</v>
          </cell>
          <cell r="K574">
            <v>50810076216756</v>
          </cell>
          <cell r="L574">
            <v>30810076216752</v>
          </cell>
          <cell r="M574">
            <v>4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LL-12-3212</v>
          </cell>
          <cell r="G575" t="str">
            <v>Scented Sticky Notes</v>
          </cell>
          <cell r="H575" t="str">
            <v>N</v>
          </cell>
          <cell r="I575" t="str">
            <v>384</v>
          </cell>
          <cell r="J575">
            <v>810076213842</v>
          </cell>
          <cell r="K575">
            <v>50810076213847</v>
          </cell>
          <cell r="L575">
            <v>30810076213843</v>
          </cell>
          <cell r="O575">
            <v>12.99</v>
          </cell>
          <cell r="P575">
            <v>6.4950000000000001</v>
          </cell>
        </row>
        <row r="576">
          <cell r="F576" t="str">
            <v>LL-98-3167</v>
          </cell>
          <cell r="G576" t="str">
            <v>Tracing Art Pads (2) with Colored Pencils (14)</v>
          </cell>
          <cell r="H576" t="str">
            <v>Y</v>
          </cell>
          <cell r="I576" t="str">
            <v>308</v>
          </cell>
          <cell r="J576">
            <v>810076213088</v>
          </cell>
          <cell r="K576">
            <v>50810076213083</v>
          </cell>
          <cell r="L576">
            <v>30810076213089</v>
          </cell>
          <cell r="M576">
            <v>4</v>
          </cell>
          <cell r="N576">
            <v>12</v>
          </cell>
          <cell r="O576">
            <v>19.989999999999998</v>
          </cell>
          <cell r="P576">
            <v>9.9949999999999992</v>
          </cell>
        </row>
        <row r="577">
          <cell r="F577" t="str">
            <v>LL-99-3111</v>
          </cell>
          <cell r="G577" t="str">
            <v>Meijer Highlighter Display Tray (Filled)</v>
          </cell>
          <cell r="H577" t="str">
            <v>N</v>
          </cell>
          <cell r="I577" t="str">
            <v>251</v>
          </cell>
          <cell r="J577">
            <v>810076212517</v>
          </cell>
          <cell r="K577">
            <v>50810076212512</v>
          </cell>
          <cell r="L577">
            <v>30810076212518</v>
          </cell>
          <cell r="M577"/>
          <cell r="N577"/>
          <cell r="O577">
            <v>79.989999999999995</v>
          </cell>
          <cell r="P577">
            <v>39.994999999999997</v>
          </cell>
        </row>
        <row r="578">
          <cell r="F578" t="str">
            <v>LL-99-3112</v>
          </cell>
          <cell r="G578" t="str">
            <v>Meijer Lava Pen Display Tray (Filled)</v>
          </cell>
          <cell r="H578" t="str">
            <v>N</v>
          </cell>
          <cell r="I578" t="str">
            <v>252</v>
          </cell>
          <cell r="J578">
            <v>810076212524</v>
          </cell>
          <cell r="K578">
            <v>50810076212529</v>
          </cell>
          <cell r="L578">
            <v>30810076212525</v>
          </cell>
          <cell r="M578"/>
          <cell r="N578"/>
          <cell r="O578">
            <v>79.989999999999995</v>
          </cell>
          <cell r="P578">
            <v>39.994999999999997</v>
          </cell>
        </row>
        <row r="579">
          <cell r="F579" t="str">
            <v>LL-99-3113</v>
          </cell>
          <cell r="G579" t="str">
            <v>Meijer 10PK Colored Pencil Display Tray (Filled)</v>
          </cell>
          <cell r="H579" t="str">
            <v>N</v>
          </cell>
          <cell r="I579" t="str">
            <v>253</v>
          </cell>
          <cell r="J579">
            <v>810076212531</v>
          </cell>
          <cell r="K579">
            <v>50810076212536</v>
          </cell>
          <cell r="L579">
            <v>30810076212532</v>
          </cell>
          <cell r="M579"/>
          <cell r="N579"/>
          <cell r="O579">
            <v>79.989999999999995</v>
          </cell>
          <cell r="P579">
            <v>39.994999999999997</v>
          </cell>
        </row>
        <row r="580">
          <cell r="F580" t="str">
            <v>LL-99-3114</v>
          </cell>
          <cell r="G580" t="str">
            <v>Meijer 20PK Colored Pencil Display Tray (Filled)</v>
          </cell>
          <cell r="H580" t="str">
            <v>N</v>
          </cell>
          <cell r="I580" t="str">
            <v>254</v>
          </cell>
          <cell r="J580">
            <v>810076212548</v>
          </cell>
          <cell r="K580">
            <v>50810076212543</v>
          </cell>
          <cell r="L580">
            <v>30810076212549</v>
          </cell>
          <cell r="M580"/>
          <cell r="N580"/>
          <cell r="O580">
            <v>199.99</v>
          </cell>
          <cell r="P580">
            <v>99.995000000000005</v>
          </cell>
        </row>
        <row r="581">
          <cell r="F581" t="str">
            <v>LL-98-3119</v>
          </cell>
          <cell r="G581" t="str">
            <v xml:space="preserve">2025 Writing Sidecap Shipper (Filled) </v>
          </cell>
          <cell r="H581" t="str">
            <v>N</v>
          </cell>
          <cell r="I581" t="str">
            <v>255</v>
          </cell>
          <cell r="J581">
            <v>810076212555</v>
          </cell>
          <cell r="K581" t="str">
            <v/>
          </cell>
          <cell r="L581" t="str">
            <v/>
          </cell>
          <cell r="M581"/>
          <cell r="N581"/>
          <cell r="O581">
            <v>429.99</v>
          </cell>
          <cell r="P581">
            <v>214.995</v>
          </cell>
        </row>
        <row r="582">
          <cell r="F582" t="str">
            <v>LL-98-3465</v>
          </cell>
          <cell r="G582" t="str">
            <v>Everyday Calm – Cottage Charm</v>
          </cell>
          <cell r="H582" t="str">
            <v>N</v>
          </cell>
          <cell r="I582" t="str">
            <v>684</v>
          </cell>
          <cell r="J582">
            <v>810076216843</v>
          </cell>
          <cell r="K582">
            <v>50810076216848</v>
          </cell>
          <cell r="L582">
            <v>30810076216844</v>
          </cell>
          <cell r="M582"/>
          <cell r="N582"/>
          <cell r="O582">
            <v>29.99</v>
          </cell>
          <cell r="P582"/>
        </row>
        <row r="583">
          <cell r="F583" t="str">
            <v>LL-98-3466</v>
          </cell>
          <cell r="G583" t="str">
            <v>Everyday Calm – Creature Comforts</v>
          </cell>
          <cell r="H583" t="str">
            <v>N</v>
          </cell>
          <cell r="I583" t="str">
            <v>685</v>
          </cell>
          <cell r="J583">
            <v>810076216850</v>
          </cell>
          <cell r="K583">
            <v>50810076216855</v>
          </cell>
          <cell r="L583">
            <v>30810076216851</v>
          </cell>
          <cell r="M583"/>
          <cell r="N583"/>
          <cell r="O583">
            <v>29.99</v>
          </cell>
          <cell r="P583"/>
        </row>
        <row r="584">
          <cell r="F584" t="str">
            <v>LL-98-3467</v>
          </cell>
          <cell r="G584" t="str">
            <v>Everyday Calm – Coastal Escape</v>
          </cell>
          <cell r="H584" t="str">
            <v>N</v>
          </cell>
          <cell r="I584" t="str">
            <v>686</v>
          </cell>
          <cell r="J584">
            <v>810076216867</v>
          </cell>
          <cell r="K584">
            <v>50810076216862</v>
          </cell>
          <cell r="L584">
            <v>30810076216868</v>
          </cell>
          <cell r="M584"/>
          <cell r="N584"/>
          <cell r="O584">
            <v>29.99</v>
          </cell>
          <cell r="P584"/>
        </row>
        <row r="585">
          <cell r="F585" t="str">
            <v>LL-98-3468</v>
          </cell>
          <cell r="G585" t="str">
            <v>Mini to the Max</v>
          </cell>
          <cell r="H585" t="str">
            <v>N</v>
          </cell>
          <cell r="I585" t="str">
            <v>687</v>
          </cell>
          <cell r="J585">
            <v>810076216874</v>
          </cell>
          <cell r="K585">
            <v>50810076216879</v>
          </cell>
          <cell r="L585">
            <v>30810076216875</v>
          </cell>
          <cell r="M585"/>
          <cell r="N585"/>
          <cell r="O585">
            <v>29.99</v>
          </cell>
          <cell r="P585"/>
        </row>
        <row r="586">
          <cell r="F586" t="str">
            <v>LL-98-3469</v>
          </cell>
          <cell r="G586" t="str">
            <v>The Calm Collection – In Full Bloom</v>
          </cell>
          <cell r="H586" t="str">
            <v>N</v>
          </cell>
          <cell r="I586" t="str">
            <v>688</v>
          </cell>
          <cell r="J586">
            <v>810076216881</v>
          </cell>
          <cell r="K586">
            <v>50810076216886</v>
          </cell>
          <cell r="L586">
            <v>30810076216882</v>
          </cell>
          <cell r="M586"/>
          <cell r="N586"/>
          <cell r="O586">
            <v>39.99</v>
          </cell>
          <cell r="P586"/>
        </row>
        <row r="587">
          <cell r="F587" t="str">
            <v>LL-98-3470</v>
          </cell>
          <cell r="G587" t="str">
            <v>The Calm Collection – Earthly Wonders</v>
          </cell>
          <cell r="H587" t="str">
            <v>N</v>
          </cell>
          <cell r="I587" t="str">
            <v>689</v>
          </cell>
          <cell r="J587">
            <v>810076216898</v>
          </cell>
          <cell r="K587">
            <v>50810076216893</v>
          </cell>
          <cell r="L587">
            <v>30810076216899</v>
          </cell>
          <cell r="M587"/>
          <cell r="N587"/>
          <cell r="O587">
            <v>39.99</v>
          </cell>
          <cell r="P587"/>
        </row>
        <row r="588">
          <cell r="F588" t="str">
            <v>LL-98-3471</v>
          </cell>
          <cell r="G588" t="str">
            <v>The Calm Collection – Merry Moments</v>
          </cell>
          <cell r="H588" t="str">
            <v>N</v>
          </cell>
          <cell r="I588" t="str">
            <v>690</v>
          </cell>
          <cell r="J588">
            <v>810076216904</v>
          </cell>
          <cell r="K588">
            <v>50810076216909</v>
          </cell>
          <cell r="L588">
            <v>30810076216905</v>
          </cell>
          <cell r="M588"/>
          <cell r="N588"/>
          <cell r="O588">
            <v>39.99</v>
          </cell>
          <cell r="P588"/>
        </row>
        <row r="589">
          <cell r="F589" t="str">
            <v>LL-98-3472</v>
          </cell>
          <cell r="G589" t="str">
            <v>The Calm Collection – Happy Places</v>
          </cell>
          <cell r="H589" t="str">
            <v>N</v>
          </cell>
          <cell r="I589" t="str">
            <v>691</v>
          </cell>
          <cell r="J589">
            <v>810076216911</v>
          </cell>
          <cell r="K589">
            <v>50810076216916</v>
          </cell>
          <cell r="L589">
            <v>30810076216912</v>
          </cell>
          <cell r="M589"/>
          <cell r="N589"/>
          <cell r="O589">
            <v>39.99</v>
          </cell>
          <cell r="P589"/>
        </row>
        <row r="590">
          <cell r="F590" t="str">
            <v>LL-98-3473</v>
          </cell>
          <cell r="G590" t="str">
            <v>The Art of Calm – Beautiful Horizons</v>
          </cell>
          <cell r="H590" t="str">
            <v>N</v>
          </cell>
          <cell r="I590" t="str">
            <v>692</v>
          </cell>
          <cell r="J590">
            <v>810076216928</v>
          </cell>
          <cell r="K590">
            <v>50810076216923</v>
          </cell>
          <cell r="L590">
            <v>30810076216929</v>
          </cell>
          <cell r="M590"/>
          <cell r="N590"/>
          <cell r="O590">
            <v>49.99</v>
          </cell>
          <cell r="P590"/>
        </row>
        <row r="591">
          <cell r="F591" t="str">
            <v>LL-98-3474</v>
          </cell>
          <cell r="G591" t="str">
            <v>The Art of Calm – Worlds Away</v>
          </cell>
          <cell r="H591" t="str">
            <v>N</v>
          </cell>
          <cell r="I591" t="str">
            <v>693</v>
          </cell>
          <cell r="J591">
            <v>810076216935</v>
          </cell>
          <cell r="K591">
            <v>50810076216930</v>
          </cell>
          <cell r="L591">
            <v>30810076216936</v>
          </cell>
          <cell r="M591"/>
          <cell r="N591"/>
          <cell r="O591">
            <v>49.99</v>
          </cell>
          <cell r="P591"/>
        </row>
        <row r="592">
          <cell r="F592" t="str">
            <v>LL-98-3475</v>
          </cell>
          <cell r="G592" t="str">
            <v>The Best of Lifelines</v>
          </cell>
          <cell r="H592" t="str">
            <v>N</v>
          </cell>
          <cell r="I592" t="str">
            <v>694</v>
          </cell>
          <cell r="J592">
            <v>810076216942</v>
          </cell>
          <cell r="K592">
            <v>50810076216947</v>
          </cell>
          <cell r="L592">
            <v>30810076216943</v>
          </cell>
          <cell r="M592"/>
          <cell r="N592"/>
          <cell r="O592">
            <v>79.989999999999995</v>
          </cell>
        </row>
        <row r="593">
          <cell r="F593" t="str">
            <v>LL-98-3476</v>
          </cell>
          <cell r="G593" t="str">
            <v>The Ultimate Unwind</v>
          </cell>
          <cell r="H593" t="str">
            <v>N</v>
          </cell>
          <cell r="I593" t="str">
            <v>695</v>
          </cell>
          <cell r="J593">
            <v>810076216959</v>
          </cell>
          <cell r="K593">
            <v>50810076216954</v>
          </cell>
          <cell r="L593">
            <v>30810076216950</v>
          </cell>
          <cell r="M593"/>
          <cell r="N593"/>
          <cell r="O593">
            <v>99.99</v>
          </cell>
        </row>
        <row r="594">
          <cell r="F594" t="str">
            <v>LL-98-3477</v>
          </cell>
          <cell r="G594" t="str">
            <v>The Scent of Calm</v>
          </cell>
          <cell r="H594" t="str">
            <v>N</v>
          </cell>
          <cell r="I594" t="str">
            <v>696</v>
          </cell>
          <cell r="J594">
            <v>810076216966</v>
          </cell>
          <cell r="K594">
            <v>50810076216961</v>
          </cell>
          <cell r="L594">
            <v>30810076216967</v>
          </cell>
          <cell r="M594"/>
          <cell r="N594"/>
          <cell r="O594">
            <v>79.989999999999995</v>
          </cell>
          <cell r="P594"/>
        </row>
        <row r="595">
          <cell r="F595" t="str">
            <v>LL-98-3478</v>
          </cell>
          <cell r="G595" t="str">
            <v>The Write State of Mind</v>
          </cell>
          <cell r="H595" t="str">
            <v>N</v>
          </cell>
          <cell r="I595" t="str">
            <v>697</v>
          </cell>
          <cell r="J595">
            <v>810076216973</v>
          </cell>
          <cell r="K595">
            <v>50810076216978</v>
          </cell>
          <cell r="L595">
            <v>30810076216974</v>
          </cell>
          <cell r="M595"/>
          <cell r="N595"/>
          <cell r="O595">
            <v>99.99</v>
          </cell>
          <cell r="P595"/>
        </row>
        <row r="596">
          <cell r="F596" t="str">
            <v>LL-12-3132</v>
          </cell>
          <cell r="G596" t="str">
            <v>Scented Lava Pen Set - 2-pack (Pink / Purple)  - WALMART PKG</v>
          </cell>
          <cell r="H596" t="str">
            <v>Y</v>
          </cell>
          <cell r="I596" t="str">
            <v>275</v>
          </cell>
          <cell r="J596">
            <v>810076212753</v>
          </cell>
          <cell r="K596">
            <v>50810076212758</v>
          </cell>
          <cell r="L596">
            <v>30810076212754</v>
          </cell>
          <cell r="M596">
            <v>6</v>
          </cell>
          <cell r="N596">
            <v>12</v>
          </cell>
          <cell r="O596">
            <v>9.94</v>
          </cell>
          <cell r="P596">
            <v>4.97</v>
          </cell>
        </row>
        <row r="597">
          <cell r="F597" t="str">
            <v>LL-12-3132-V2</v>
          </cell>
          <cell r="G597" t="str">
            <v>Scented Lava Pen Set - 2-pack (Pink / Purple)  - WALMART PKG</v>
          </cell>
          <cell r="H597" t="str">
            <v>N</v>
          </cell>
          <cell r="I597" t="str">
            <v/>
          </cell>
          <cell r="K597">
            <v>60810076212755</v>
          </cell>
          <cell r="L597">
            <v>40810076212751</v>
          </cell>
          <cell r="M597">
            <v>6</v>
          </cell>
          <cell r="N597">
            <v>12</v>
          </cell>
          <cell r="O597">
            <v>9.94</v>
          </cell>
          <cell r="P597">
            <v>4.97</v>
          </cell>
        </row>
        <row r="598">
          <cell r="F598" t="str">
            <v>LL-12-3133</v>
          </cell>
          <cell r="G598" t="str">
            <v>Scented Lava Pen Set - 2-pack (Blue / Green)  - WALMART PKG</v>
          </cell>
          <cell r="H598" t="str">
            <v>Y</v>
          </cell>
          <cell r="I598" t="str">
            <v>276</v>
          </cell>
          <cell r="J598">
            <v>810076212760</v>
          </cell>
          <cell r="K598">
            <v>50810076212765</v>
          </cell>
          <cell r="L598">
            <v>30810076212761</v>
          </cell>
          <cell r="M598">
            <v>6</v>
          </cell>
          <cell r="N598">
            <v>12</v>
          </cell>
          <cell r="O598">
            <v>9.94</v>
          </cell>
          <cell r="P598">
            <v>4.97</v>
          </cell>
        </row>
        <row r="599">
          <cell r="F599" t="str">
            <v>LL-12-3136</v>
          </cell>
          <cell r="G599" t="str">
            <v>Pen Diffuser with Essential Oil Blends -  Spiced Chai Latte - WALMART PKG</v>
          </cell>
          <cell r="H599" t="str">
            <v>Y</v>
          </cell>
          <cell r="I599" t="str">
            <v>279</v>
          </cell>
          <cell r="J599">
            <v>810076212791</v>
          </cell>
          <cell r="K599">
            <v>50810076212796</v>
          </cell>
          <cell r="L599">
            <v>30810076212792</v>
          </cell>
          <cell r="M599">
            <v>6</v>
          </cell>
          <cell r="N599">
            <v>18</v>
          </cell>
          <cell r="O599">
            <v>8.9600000000000009</v>
          </cell>
          <cell r="P599">
            <v>4.4800000000000004</v>
          </cell>
        </row>
        <row r="600">
          <cell r="F600" t="str">
            <v>LL-12-3137</v>
          </cell>
          <cell r="G600" t="str">
            <v>Pen Diffuser with Essential Oil Blends - In Bloom - WALMART PKG</v>
          </cell>
          <cell r="H600" t="str">
            <v>Y</v>
          </cell>
          <cell r="I600" t="str">
            <v>280</v>
          </cell>
          <cell r="J600">
            <v>810076212807</v>
          </cell>
          <cell r="K600">
            <v>50810076212802</v>
          </cell>
          <cell r="L600">
            <v>30810076212808</v>
          </cell>
          <cell r="M600">
            <v>6</v>
          </cell>
          <cell r="N600">
            <v>18</v>
          </cell>
          <cell r="O600">
            <v>8.9600000000000009</v>
          </cell>
          <cell r="P600">
            <v>4.4800000000000004</v>
          </cell>
        </row>
        <row r="601">
          <cell r="F601" t="str">
            <v>LL-12-3138</v>
          </cell>
          <cell r="G601" t="str">
            <v>Rub &amp; Sniff™ Scented Colored Pencils - 10-pack (Classic Palette) - WALMART PKG</v>
          </cell>
          <cell r="H601" t="str">
            <v>Y</v>
          </cell>
          <cell r="I601" t="str">
            <v>281</v>
          </cell>
          <cell r="J601">
            <v>810076212814</v>
          </cell>
          <cell r="K601">
            <v>50810076212819</v>
          </cell>
          <cell r="L601">
            <v>30810076212815</v>
          </cell>
          <cell r="M601">
            <v>4</v>
          </cell>
          <cell r="N601">
            <v>12</v>
          </cell>
          <cell r="O601">
            <v>9.94</v>
          </cell>
          <cell r="P601">
            <v>4.97</v>
          </cell>
        </row>
        <row r="602">
          <cell r="F602" t="str">
            <v>LL-12-3139</v>
          </cell>
          <cell r="G602" t="str">
            <v>Writing Bundle [2x Lava Pen / Journal / Highlighter] - WALMART PKG</v>
          </cell>
          <cell r="H602" t="str">
            <v>Y</v>
          </cell>
          <cell r="I602" t="str">
            <v>282</v>
          </cell>
          <cell r="J602">
            <v>810076212821</v>
          </cell>
          <cell r="K602">
            <v>50810076212826</v>
          </cell>
          <cell r="L602">
            <v>30810076212822</v>
          </cell>
          <cell r="M602">
            <v>2</v>
          </cell>
          <cell r="N602">
            <v>8</v>
          </cell>
          <cell r="O602">
            <v>19.77</v>
          </cell>
          <cell r="P602">
            <v>9.8849999999999998</v>
          </cell>
        </row>
        <row r="603">
          <cell r="F603" t="str">
            <v>LL-16-3193</v>
          </cell>
          <cell r="G603" t="str">
            <v>FlowArt: Pogo-Dot, Nature - WALMART PKG</v>
          </cell>
          <cell r="H603" t="str">
            <v>Y</v>
          </cell>
          <cell r="I603" t="str">
            <v>339</v>
          </cell>
          <cell r="J603">
            <v>810076213392</v>
          </cell>
          <cell r="K603">
            <v>50810076213397</v>
          </cell>
          <cell r="L603">
            <v>30810076213393</v>
          </cell>
          <cell r="M603">
            <v>4</v>
          </cell>
          <cell r="N603">
            <v>32</v>
          </cell>
          <cell r="O603">
            <v>9.94</v>
          </cell>
          <cell r="P603">
            <v>4.97</v>
          </cell>
        </row>
        <row r="604">
          <cell r="F604" t="str">
            <v>LL-16-3140</v>
          </cell>
          <cell r="G604" t="str">
            <v>FlowArt: Dot-By-Letter, Landscapes - WALMART PKG</v>
          </cell>
          <cell r="H604" t="str">
            <v>Y</v>
          </cell>
          <cell r="I604" t="str">
            <v>283</v>
          </cell>
          <cell r="J604">
            <v>810076212838</v>
          </cell>
          <cell r="K604">
            <v>50810076212833</v>
          </cell>
          <cell r="L604">
            <v>30810076212839</v>
          </cell>
          <cell r="M604">
            <v>4</v>
          </cell>
          <cell r="N604">
            <v>32</v>
          </cell>
          <cell r="O604">
            <v>9.94</v>
          </cell>
          <cell r="P604">
            <v>4.97</v>
          </cell>
        </row>
        <row r="605">
          <cell r="F605" t="str">
            <v>LL-16-3141</v>
          </cell>
          <cell r="G605" t="str">
            <v>FlowArt: Dot-By-Letter, Botanicals - WALMART PKG</v>
          </cell>
          <cell r="H605" t="str">
            <v>Y</v>
          </cell>
          <cell r="I605" t="str">
            <v>284</v>
          </cell>
          <cell r="J605">
            <v>810076212845</v>
          </cell>
          <cell r="K605">
            <v>50810076212840</v>
          </cell>
          <cell r="L605">
            <v>30810076212846</v>
          </cell>
          <cell r="M605">
            <v>4</v>
          </cell>
          <cell r="N605">
            <v>32</v>
          </cell>
          <cell r="O605">
            <v>9.94</v>
          </cell>
          <cell r="P605">
            <v>4.97</v>
          </cell>
        </row>
        <row r="606">
          <cell r="F606" t="str">
            <v>LL-14-3144</v>
          </cell>
          <cell r="G606" t="str">
            <v>Blush Pink Ribbed Candle - XX - WALMART PKG</v>
          </cell>
          <cell r="H606" t="str">
            <v>Y</v>
          </cell>
          <cell r="I606" t="str">
            <v>287</v>
          </cell>
          <cell r="J606">
            <v>810076212876</v>
          </cell>
          <cell r="K606">
            <v>50810076212871</v>
          </cell>
          <cell r="L606">
            <v>30810076212877</v>
          </cell>
          <cell r="M606">
            <v>2</v>
          </cell>
          <cell r="N606">
            <v>16</v>
          </cell>
          <cell r="O606">
            <v>29.82</v>
          </cell>
          <cell r="P606">
            <v>14.91</v>
          </cell>
        </row>
        <row r="607">
          <cell r="F607" t="str">
            <v>LL-14-3146</v>
          </cell>
          <cell r="G607" t="str">
            <v>Plant Diffuser -  Grass Plant - Bubble White  - WALMART PKG</v>
          </cell>
          <cell r="H607" t="str">
            <v>Y</v>
          </cell>
          <cell r="I607" t="str">
            <v>289</v>
          </cell>
          <cell r="J607">
            <v>810076212890</v>
          </cell>
          <cell r="K607">
            <v>50810076212895</v>
          </cell>
          <cell r="L607">
            <v>30810076212891</v>
          </cell>
          <cell r="M607">
            <v>2</v>
          </cell>
          <cell r="N607">
            <v>12</v>
          </cell>
          <cell r="O607">
            <v>29.82</v>
          </cell>
          <cell r="P607">
            <v>14.91</v>
          </cell>
        </row>
        <row r="608">
          <cell r="F608" t="str">
            <v>LL-16-3261</v>
          </cell>
          <cell r="G608" t="str">
            <v>FlowArt Home for the Holidays Scented CtR - WMT</v>
          </cell>
          <cell r="H608" t="str">
            <v>Y</v>
          </cell>
          <cell r="I608" t="str">
            <v>443</v>
          </cell>
          <cell r="J608">
            <v>810076214436</v>
          </cell>
          <cell r="K608">
            <v>50810076214431</v>
          </cell>
          <cell r="L608">
            <v>30810076214437</v>
          </cell>
          <cell r="M608">
            <v>6</v>
          </cell>
          <cell r="N608">
            <v>24</v>
          </cell>
          <cell r="O608">
            <v>10</v>
          </cell>
          <cell r="P608">
            <v>5</v>
          </cell>
        </row>
        <row r="609">
          <cell r="F609" t="str">
            <v>LL-16-3281</v>
          </cell>
          <cell r="G609" t="str">
            <v>FlowArt Dot-By-Letter Winterglow - WMT [Metallic]</v>
          </cell>
          <cell r="H609" t="str">
            <v>Y</v>
          </cell>
          <cell r="I609" t="str">
            <v>468</v>
          </cell>
          <cell r="J609">
            <v>810076214689</v>
          </cell>
          <cell r="K609">
            <v>50810076214684</v>
          </cell>
          <cell r="L609">
            <v>30810076214680</v>
          </cell>
          <cell r="M609">
            <v>6</v>
          </cell>
          <cell r="N609">
            <v>24</v>
          </cell>
          <cell r="O609">
            <v>10</v>
          </cell>
          <cell r="P609">
            <v>5</v>
          </cell>
        </row>
        <row r="610">
          <cell r="F610" t="str">
            <v>LL-16-3263</v>
          </cell>
          <cell r="G610" t="str">
            <v>FlowArt: Trace-by-Line: Gingerbread Delight - WMT</v>
          </cell>
          <cell r="H610" t="str">
            <v>Y</v>
          </cell>
          <cell r="I610" t="str">
            <v>445</v>
          </cell>
          <cell r="J610">
            <v>810076214450</v>
          </cell>
          <cell r="K610">
            <v>50810076214455</v>
          </cell>
          <cell r="L610">
            <v>30810076214451</v>
          </cell>
          <cell r="M610">
            <v>6</v>
          </cell>
          <cell r="N610">
            <v>24</v>
          </cell>
          <cell r="O610">
            <v>10</v>
          </cell>
          <cell r="P610">
            <v>5</v>
          </cell>
        </row>
        <row r="611">
          <cell r="F611" t="str">
            <v>LL-16-3383</v>
          </cell>
          <cell r="G611" t="str">
            <v>FlowArt Dot-By-Letter: The North Pole - WMT</v>
          </cell>
          <cell r="H611" t="str">
            <v>Y</v>
          </cell>
          <cell r="I611" t="str">
            <v>584</v>
          </cell>
          <cell r="J611">
            <v>810076215846</v>
          </cell>
          <cell r="K611">
            <v>50810076215841</v>
          </cell>
          <cell r="L611">
            <v>30810076215847</v>
          </cell>
          <cell r="M611">
            <v>6</v>
          </cell>
          <cell r="N611">
            <v>24</v>
          </cell>
          <cell r="O611">
            <v>10</v>
          </cell>
          <cell r="P611">
            <v>5</v>
          </cell>
        </row>
        <row r="612">
          <cell r="F612" t="str">
            <v>LL-16-3266</v>
          </cell>
          <cell r="G612" t="str">
            <v>FlowArt Dot-By-Letter: Wags &amp; Whiskers - WMT</v>
          </cell>
          <cell r="H612" t="str">
            <v>Y</v>
          </cell>
          <cell r="I612" t="str">
            <v>448</v>
          </cell>
          <cell r="J612">
            <v>810076214481</v>
          </cell>
          <cell r="K612">
            <v>50810076214486</v>
          </cell>
          <cell r="L612">
            <v>30810076214482</v>
          </cell>
          <cell r="M612">
            <v>6</v>
          </cell>
          <cell r="N612">
            <v>24</v>
          </cell>
          <cell r="O612">
            <v>10</v>
          </cell>
          <cell r="P612">
            <v>5</v>
          </cell>
        </row>
        <row r="613">
          <cell r="F613" t="str">
            <v>LL-99-3370</v>
          </cell>
          <cell r="G613" t="str">
            <v>FlowArt Minis: PDQ - WMT</v>
          </cell>
          <cell r="H613" t="str">
            <v>N</v>
          </cell>
          <cell r="I613" t="str">
            <v/>
          </cell>
          <cell r="M613">
            <v>6</v>
          </cell>
          <cell r="N613">
            <v>24</v>
          </cell>
          <cell r="O613">
            <v>6.99</v>
          </cell>
          <cell r="P613">
            <v>3.4950000000000001</v>
          </cell>
        </row>
        <row r="614">
          <cell r="F614" t="str">
            <v>LL-30-3380</v>
          </cell>
          <cell r="G614" t="str">
            <v>FlowArt Minis EXPRESS: Nature Walk - WMT</v>
          </cell>
          <cell r="H614" t="str">
            <v>Y</v>
          </cell>
          <cell r="I614" t="str">
            <v>581</v>
          </cell>
          <cell r="J614">
            <v>810076215815</v>
          </cell>
          <cell r="K614">
            <v>50810076215810</v>
          </cell>
          <cell r="L614">
            <v>30810076215816</v>
          </cell>
          <cell r="M614">
            <v>9</v>
          </cell>
          <cell r="N614">
            <v>36</v>
          </cell>
          <cell r="O614">
            <v>4.99</v>
          </cell>
          <cell r="P614">
            <v>2.4950000000000001</v>
          </cell>
        </row>
        <row r="615">
          <cell r="F615" t="str">
            <v>LL-30-3381</v>
          </cell>
          <cell r="G615" t="str">
            <v>FlowArt Minis EXPRESS: Paws and Purrs - WMT</v>
          </cell>
          <cell r="H615" t="str">
            <v>Y</v>
          </cell>
          <cell r="I615" t="str">
            <v>582</v>
          </cell>
          <cell r="J615">
            <v>810076215822</v>
          </cell>
          <cell r="K615">
            <v>50810076215827</v>
          </cell>
          <cell r="L615">
            <v>30810076215823</v>
          </cell>
          <cell r="M615">
            <v>9</v>
          </cell>
          <cell r="N615">
            <v>36</v>
          </cell>
          <cell r="O615">
            <v>4.99</v>
          </cell>
          <cell r="P615">
            <v>2.4950000000000001</v>
          </cell>
        </row>
        <row r="616">
          <cell r="F616" t="str">
            <v>LL-30-3382</v>
          </cell>
          <cell r="G616" t="str">
            <v>FlowArt Minis EXPRESS: In Full Bloom - WMT</v>
          </cell>
          <cell r="H616" t="str">
            <v>Y</v>
          </cell>
          <cell r="I616" t="str">
            <v>583</v>
          </cell>
          <cell r="J616">
            <v>810076215839</v>
          </cell>
          <cell r="K616">
            <v>50810076215834</v>
          </cell>
          <cell r="L616">
            <v>30810076215830</v>
          </cell>
          <cell r="M616">
            <v>9</v>
          </cell>
          <cell r="N616">
            <v>36</v>
          </cell>
          <cell r="O616">
            <v>4.99</v>
          </cell>
          <cell r="P616">
            <v>2.4950000000000001</v>
          </cell>
        </row>
        <row r="617">
          <cell r="F617" t="str">
            <v>LL-12-3271</v>
          </cell>
          <cell r="G617" t="str">
            <v>Scented Glitter Pen 3-Pack - WMT</v>
          </cell>
          <cell r="H617" t="str">
            <v>N</v>
          </cell>
          <cell r="I617" t="str">
            <v>453</v>
          </cell>
          <cell r="J617">
            <v>810076214535</v>
          </cell>
          <cell r="K617">
            <v>50810076214530</v>
          </cell>
          <cell r="L617">
            <v>30810076214536</v>
          </cell>
          <cell r="M617">
            <v>4</v>
          </cell>
          <cell r="N617">
            <v>12</v>
          </cell>
          <cell r="O617">
            <v>10</v>
          </cell>
          <cell r="P617">
            <v>5</v>
          </cell>
        </row>
        <row r="618">
          <cell r="F618" t="str">
            <v>LL-12-3272</v>
          </cell>
          <cell r="G618" t="str">
            <v>Scented Lava Pen 3-Pack - WMT</v>
          </cell>
          <cell r="H618" t="str">
            <v>N</v>
          </cell>
          <cell r="I618" t="str">
            <v>454</v>
          </cell>
          <cell r="J618">
            <v>810076214542</v>
          </cell>
          <cell r="K618">
            <v>50810076214547</v>
          </cell>
          <cell r="L618">
            <v>30810076214543</v>
          </cell>
          <cell r="M618">
            <v>4</v>
          </cell>
          <cell r="N618">
            <v>12</v>
          </cell>
          <cell r="O618">
            <v>10</v>
          </cell>
          <cell r="P618">
            <v>5</v>
          </cell>
        </row>
        <row r="619">
          <cell r="F619" t="str">
            <v>LL-12-3273</v>
          </cell>
          <cell r="G619" t="str">
            <v>Scented Pen Discovery Set 3-Pack - WMT</v>
          </cell>
          <cell r="H619" t="str">
            <v>N</v>
          </cell>
          <cell r="I619" t="str">
            <v>455</v>
          </cell>
          <cell r="J619">
            <v>810076214559</v>
          </cell>
          <cell r="K619">
            <v>50810076214554</v>
          </cell>
          <cell r="L619">
            <v>30810076214550</v>
          </cell>
          <cell r="M619">
            <v>4</v>
          </cell>
          <cell r="N619">
            <v>12</v>
          </cell>
          <cell r="O619">
            <v>10</v>
          </cell>
          <cell r="P619">
            <v>5</v>
          </cell>
        </row>
        <row r="620">
          <cell r="F620" t="str">
            <v>LL-12-3274</v>
          </cell>
          <cell r="G620" t="str">
            <v>Scented Marker 10-Pack - WMT</v>
          </cell>
          <cell r="H620" t="str">
            <v>N</v>
          </cell>
          <cell r="I620" t="str">
            <v>456</v>
          </cell>
          <cell r="J620">
            <v>810076214566</v>
          </cell>
          <cell r="K620">
            <v>50810076214561</v>
          </cell>
          <cell r="L620">
            <v>30810076214567</v>
          </cell>
          <cell r="M620">
            <v>4</v>
          </cell>
          <cell r="N620">
            <v>12</v>
          </cell>
          <cell r="O620">
            <v>10</v>
          </cell>
          <cell r="P620">
            <v>5</v>
          </cell>
        </row>
        <row r="621">
          <cell r="F621" t="str">
            <v>LL-25-3277</v>
          </cell>
          <cell r="G621" t="str">
            <v>Scented Palm Calms - Sweet Dreams - WMT</v>
          </cell>
          <cell r="H621" t="str">
            <v>N</v>
          </cell>
          <cell r="I621" t="str">
            <v>459</v>
          </cell>
          <cell r="J621">
            <v>810076214597</v>
          </cell>
          <cell r="K621">
            <v>50810076214592</v>
          </cell>
          <cell r="L621">
            <v>30810076214598</v>
          </cell>
          <cell r="M621">
            <v>2</v>
          </cell>
          <cell r="N621">
            <v>16</v>
          </cell>
          <cell r="O621">
            <v>15</v>
          </cell>
          <cell r="P621">
            <v>7.5</v>
          </cell>
        </row>
        <row r="622">
          <cell r="F622" t="str">
            <v>LL-14-3322</v>
          </cell>
          <cell r="G622" t="str">
            <v>Candle - Ribbed Pink - Very Vanilla - WALMART PKG</v>
          </cell>
          <cell r="H622" t="str">
            <v>Y</v>
          </cell>
          <cell r="I622" t="str">
            <v>510</v>
          </cell>
          <cell r="J622">
            <v>810076215105</v>
          </cell>
          <cell r="K622">
            <v>50810076215100</v>
          </cell>
          <cell r="L622">
            <v>30810076215106</v>
          </cell>
          <cell r="M622">
            <v>3</v>
          </cell>
          <cell r="N622">
            <v>12</v>
          </cell>
          <cell r="O622">
            <v>29.99</v>
          </cell>
          <cell r="P622">
            <v>14.994999999999999</v>
          </cell>
        </row>
        <row r="623">
          <cell r="F623" t="str">
            <v>LL-12-3279</v>
          </cell>
          <cell r="G623" t="str">
            <v>Ebb &amp; Flow Journal + Pen Gift Set - WMT</v>
          </cell>
          <cell r="H623" t="str">
            <v>Y</v>
          </cell>
          <cell r="I623" t="str">
            <v>461</v>
          </cell>
          <cell r="J623">
            <v>810076214610</v>
          </cell>
          <cell r="K623">
            <v>50810076214615</v>
          </cell>
          <cell r="L623">
            <v>30810076214611</v>
          </cell>
          <cell r="M623">
            <v>2</v>
          </cell>
          <cell r="N623">
            <v>8</v>
          </cell>
          <cell r="O623">
            <v>15</v>
          </cell>
          <cell r="P623">
            <v>7.5</v>
          </cell>
        </row>
        <row r="624">
          <cell r="F624" t="str">
            <v>LL-12-3280</v>
          </cell>
          <cell r="G624" t="str">
            <v>Find Your Path Journal + Pen Gift Set - WMT</v>
          </cell>
          <cell r="H624" t="str">
            <v>N</v>
          </cell>
          <cell r="I624" t="str">
            <v>462</v>
          </cell>
          <cell r="J624">
            <v>810076214627</v>
          </cell>
          <cell r="K624">
            <v>50810076214622</v>
          </cell>
          <cell r="L624">
            <v>30810076214628</v>
          </cell>
          <cell r="M624">
            <v>4</v>
          </cell>
          <cell r="N624">
            <v>12</v>
          </cell>
          <cell r="O624">
            <v>15</v>
          </cell>
          <cell r="P624">
            <v>7.5</v>
          </cell>
        </row>
        <row r="625">
          <cell r="F625" t="str">
            <v>LL-00-0001</v>
          </cell>
          <cell r="G625" t="str">
            <v>Empty Cardboard Shipper Base</v>
          </cell>
          <cell r="H625" t="str">
            <v>N</v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</row>
        <row r="626">
          <cell r="F626" t="str">
            <v>LL-00-0002</v>
          </cell>
          <cell r="G626" t="str">
            <v>Empty Sidecap Shipper with Base</v>
          </cell>
          <cell r="H626" t="str">
            <v>N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</row>
        <row r="627">
          <cell r="F627" t="str">
            <v>LL-00-0003</v>
          </cell>
          <cell r="G627" t="str">
            <v>Target Writing Sidecap Shipper (Summer 2025)</v>
          </cell>
          <cell r="H627" t="str">
            <v>N</v>
          </cell>
          <cell r="I627" t="str">
            <v>305</v>
          </cell>
          <cell r="J627">
            <v>810076213057</v>
          </cell>
          <cell r="K627">
            <v>50810076213052</v>
          </cell>
          <cell r="L627">
            <v>30810076213058</v>
          </cell>
          <cell r="M627">
            <v>0</v>
          </cell>
          <cell r="N627">
            <v>1</v>
          </cell>
        </row>
        <row r="628">
          <cell r="F628" t="str">
            <v>LL-00-0005</v>
          </cell>
          <cell r="G628" t="str">
            <v>Target Writing Endcap Shipper (Fall 2025) - Shelf A</v>
          </cell>
          <cell r="H628" t="str">
            <v>N</v>
          </cell>
          <cell r="I628" t="str">
            <v>333</v>
          </cell>
          <cell r="J628">
            <v>810076213330</v>
          </cell>
          <cell r="K628">
            <v>50810076213335</v>
          </cell>
          <cell r="L628">
            <v>30810076213331</v>
          </cell>
          <cell r="M628">
            <v>0</v>
          </cell>
          <cell r="N628">
            <v>1</v>
          </cell>
        </row>
        <row r="629">
          <cell r="F629" t="str">
            <v>LL-00-0006</v>
          </cell>
          <cell r="G629" t="str">
            <v>Target Writing Endcap Shipper (Fall 2025) - Shelf B</v>
          </cell>
          <cell r="H629" t="str">
            <v>N</v>
          </cell>
          <cell r="I629" t="str">
            <v>334</v>
          </cell>
          <cell r="J629">
            <v>810076213347</v>
          </cell>
          <cell r="K629">
            <v>50810076213342</v>
          </cell>
          <cell r="L629">
            <v>30810076213348</v>
          </cell>
          <cell r="M629">
            <v>0</v>
          </cell>
          <cell r="N629">
            <v>1</v>
          </cell>
        </row>
        <row r="630">
          <cell r="F630" t="str">
            <v>LL-00-0007</v>
          </cell>
          <cell r="G630" t="str">
            <v>Target Writing Endcap Shipper (Winter 2025) - Shelf A</v>
          </cell>
          <cell r="H630" t="str">
            <v>N</v>
          </cell>
          <cell r="I630" t="str">
            <v>362</v>
          </cell>
          <cell r="J630">
            <v>810076213620</v>
          </cell>
          <cell r="K630">
            <v>50810076213625</v>
          </cell>
          <cell r="L630">
            <v>30810076213621</v>
          </cell>
          <cell r="M630">
            <v>0</v>
          </cell>
          <cell r="N630">
            <v>1</v>
          </cell>
        </row>
        <row r="631">
          <cell r="F631" t="str">
            <v>LL-00-0008</v>
          </cell>
          <cell r="G631" t="str">
            <v>Target Writing Endcap Shipper (Winter 2025) - Shelf B</v>
          </cell>
          <cell r="H631" t="str">
            <v>N</v>
          </cell>
          <cell r="I631" t="str">
            <v>363</v>
          </cell>
          <cell r="J631">
            <v>810076213637</v>
          </cell>
          <cell r="K631">
            <v>50810076213632</v>
          </cell>
          <cell r="L631">
            <v>30810076213638</v>
          </cell>
          <cell r="M631">
            <v>1</v>
          </cell>
          <cell r="N631">
            <v>1</v>
          </cell>
        </row>
        <row r="632">
          <cell r="F632" t="str">
            <v>LL-00-0035</v>
          </cell>
          <cell r="G632" t="str">
            <v>Holiday Sidecap - FA Express - TGT - Full</v>
          </cell>
          <cell r="H632" t="str">
            <v>Y</v>
          </cell>
          <cell r="I632" t="str">
            <v>578</v>
          </cell>
          <cell r="J632">
            <v>810076215785</v>
          </cell>
          <cell r="K632">
            <v>50810076215780</v>
          </cell>
          <cell r="L632">
            <v>30810076215786</v>
          </cell>
          <cell r="M632">
            <v>0</v>
          </cell>
          <cell r="N632">
            <v>1</v>
          </cell>
          <cell r="P632">
            <v>140</v>
          </cell>
        </row>
        <row r="633">
          <cell r="F633" t="str">
            <v>LL-99-0035</v>
          </cell>
          <cell r="G633" t="str">
            <v>Holiday Sidecap - FA Express - TGT - Empty</v>
          </cell>
          <cell r="H633" t="str">
            <v>N</v>
          </cell>
          <cell r="I633" t="str">
            <v>579</v>
          </cell>
          <cell r="J633">
            <v>810076215792</v>
          </cell>
          <cell r="K633">
            <v>50810076215797</v>
          </cell>
          <cell r="L633">
            <v>30810076215793</v>
          </cell>
          <cell r="M633">
            <v>0</v>
          </cell>
          <cell r="N633">
            <v>1</v>
          </cell>
        </row>
        <row r="634">
          <cell r="F634" t="str">
            <v>LL-00-0009</v>
          </cell>
          <cell r="G634" t="str">
            <v>Meijer - Grounding Stone Shipper</v>
          </cell>
          <cell r="H634" t="str">
            <v>N</v>
          </cell>
          <cell r="I634" t="str">
            <v>373</v>
          </cell>
          <cell r="J634">
            <v>810076213736</v>
          </cell>
          <cell r="K634">
            <v>50810076213731</v>
          </cell>
          <cell r="L634">
            <v>30810076213737</v>
          </cell>
          <cell r="M634">
            <v>1</v>
          </cell>
          <cell r="N634">
            <v>1</v>
          </cell>
        </row>
        <row r="635">
          <cell r="F635" t="str">
            <v>LL-00-0010</v>
          </cell>
          <cell r="G635" t="str">
            <v>Target Sidecap Shipper + Base</v>
          </cell>
          <cell r="H635" t="str">
            <v>N</v>
          </cell>
          <cell r="I635" t="str">
            <v/>
          </cell>
          <cell r="J635"/>
          <cell r="K635"/>
          <cell r="L635"/>
          <cell r="M635">
            <v>0</v>
          </cell>
          <cell r="N635">
            <v>1</v>
          </cell>
          <cell r="O635"/>
          <cell r="P635"/>
        </row>
        <row r="636">
          <cell r="F636" t="str">
            <v>LL-WM-0011</v>
          </cell>
          <cell r="G636" t="str">
            <v>BTS Sidecap - FA Minis - WALMART</v>
          </cell>
          <cell r="H636" t="str">
            <v>N</v>
          </cell>
          <cell r="I636" t="str">
            <v>432</v>
          </cell>
          <cell r="J636">
            <v>810076214320</v>
          </cell>
          <cell r="K636">
            <v>50810076214325</v>
          </cell>
          <cell r="L636">
            <v>30810076214321</v>
          </cell>
          <cell r="M636">
            <v>0</v>
          </cell>
          <cell r="N636">
            <v>1</v>
          </cell>
        </row>
        <row r="637">
          <cell r="F637" t="str">
            <v>LL-WM-0021</v>
          </cell>
          <cell r="G637" t="str">
            <v>BTS Sidecap - FA Minis - WALMART - Full</v>
          </cell>
          <cell r="H637" t="str">
            <v>Y</v>
          </cell>
          <cell r="I637" t="str">
            <v>472</v>
          </cell>
          <cell r="J637">
            <v>810076214726</v>
          </cell>
          <cell r="K637">
            <v>50810076214721</v>
          </cell>
          <cell r="L637">
            <v>30810076214727</v>
          </cell>
          <cell r="M637">
            <v>0</v>
          </cell>
          <cell r="N637">
            <v>1</v>
          </cell>
          <cell r="P637">
            <v>140</v>
          </cell>
        </row>
        <row r="638">
          <cell r="F638" t="str">
            <v>LL-WM-9921</v>
          </cell>
          <cell r="G638" t="str">
            <v>BTS Sidecap - FA Minis - WALMART - Empty</v>
          </cell>
          <cell r="H638" t="str">
            <v>N</v>
          </cell>
          <cell r="I638" t="str">
            <v/>
          </cell>
          <cell r="J638"/>
          <cell r="K638"/>
          <cell r="L638"/>
          <cell r="M638">
            <v>0</v>
          </cell>
          <cell r="N638">
            <v>1</v>
          </cell>
          <cell r="O638"/>
          <cell r="P638"/>
        </row>
        <row r="639">
          <cell r="F639" t="str">
            <v>LL-WG-0018</v>
          </cell>
          <cell r="G639" t="str">
            <v>Tower - FA Minis - WALGREENS - Full</v>
          </cell>
          <cell r="H639" t="str">
            <v>N</v>
          </cell>
          <cell r="I639" t="str">
            <v>498</v>
          </cell>
          <cell r="J639">
            <v>810076214986</v>
          </cell>
          <cell r="K639">
            <v>50810076214981</v>
          </cell>
          <cell r="L639">
            <v>30810076214987</v>
          </cell>
          <cell r="M639">
            <v>0</v>
          </cell>
          <cell r="N639">
            <v>1</v>
          </cell>
          <cell r="P639">
            <v>71.53</v>
          </cell>
        </row>
        <row r="640">
          <cell r="F640" t="str">
            <v>LL-WM-9950</v>
          </cell>
          <cell r="G640" t="str">
            <v>FY27Q1 Endcap - FA - WMT - EMPTY</v>
          </cell>
          <cell r="H640" t="str">
            <v>N</v>
          </cell>
          <cell r="I640" t="str">
            <v/>
          </cell>
          <cell r="J640"/>
          <cell r="K640"/>
          <cell r="L640"/>
          <cell r="M640">
            <v>0</v>
          </cell>
          <cell r="N640">
            <v>1</v>
          </cell>
          <cell r="O640"/>
          <cell r="P640"/>
        </row>
        <row r="641">
          <cell r="F641" t="str">
            <v>LL-WM-0045</v>
          </cell>
          <cell r="G641" t="str">
            <v>FY27Q1 Endcap - FA - WMT - 9 - SHELF #1</v>
          </cell>
          <cell r="H641" t="str">
            <v>N</v>
          </cell>
          <cell r="I641" t="str">
            <v>726</v>
          </cell>
          <cell r="J641">
            <v>810076217260</v>
          </cell>
          <cell r="K641">
            <v>50810076217265</v>
          </cell>
          <cell r="L641">
            <v>30810076217261</v>
          </cell>
          <cell r="M641">
            <v>0</v>
          </cell>
          <cell r="N641">
            <v>1</v>
          </cell>
          <cell r="O641"/>
          <cell r="P641">
            <v>45</v>
          </cell>
        </row>
        <row r="642">
          <cell r="F642" t="str">
            <v>LL-WM-0046</v>
          </cell>
          <cell r="G642" t="str">
            <v>FY27Q1 Endcap - FA - WMT - 9 - SHELF #2</v>
          </cell>
          <cell r="H642" t="str">
            <v>N</v>
          </cell>
          <cell r="I642" t="str">
            <v>727</v>
          </cell>
          <cell r="J642">
            <v>810076217277</v>
          </cell>
          <cell r="K642">
            <v>50810076217272</v>
          </cell>
          <cell r="L642">
            <v>30810076217278</v>
          </cell>
          <cell r="M642">
            <v>0</v>
          </cell>
          <cell r="N642">
            <v>1</v>
          </cell>
          <cell r="P642">
            <v>45</v>
          </cell>
        </row>
        <row r="643">
          <cell r="F643" t="str">
            <v>LL-WM-0047</v>
          </cell>
          <cell r="G643" t="str">
            <v>FY27Q1 Endcap - FA - WMT - 9 - SHELF #3</v>
          </cell>
          <cell r="H643" t="str">
            <v>N</v>
          </cell>
          <cell r="I643" t="str">
            <v>728</v>
          </cell>
          <cell r="J643">
            <v>810076217284</v>
          </cell>
          <cell r="K643">
            <v>50810076217289</v>
          </cell>
          <cell r="L643">
            <v>30810076217285</v>
          </cell>
          <cell r="M643">
            <v>0</v>
          </cell>
          <cell r="N643">
            <v>1</v>
          </cell>
          <cell r="P643">
            <v>45</v>
          </cell>
        </row>
        <row r="644">
          <cell r="F644" t="str">
            <v>LL-WM-0048</v>
          </cell>
          <cell r="G644" t="str">
            <v>FY27Q1 Endcap - FA - WMT - 9 - SHELF #4</v>
          </cell>
          <cell r="H644" t="str">
            <v>N</v>
          </cell>
          <cell r="I644" t="str">
            <v>729</v>
          </cell>
          <cell r="J644">
            <v>810076217291</v>
          </cell>
          <cell r="K644">
            <v>50810076217296</v>
          </cell>
          <cell r="L644">
            <v>30810076217292</v>
          </cell>
          <cell r="M644">
            <v>0</v>
          </cell>
          <cell r="N644">
            <v>1</v>
          </cell>
          <cell r="P644">
            <v>45</v>
          </cell>
        </row>
        <row r="645">
          <cell r="F645" t="str">
            <v>LL-WM-0049</v>
          </cell>
          <cell r="G645" t="str">
            <v>FY27Q1 Endcap - FA - WMT - 9 - SHELF #5</v>
          </cell>
          <cell r="H645" t="str">
            <v>N</v>
          </cell>
          <cell r="I645" t="str">
            <v>730</v>
          </cell>
          <cell r="J645">
            <v>810076217307</v>
          </cell>
          <cell r="K645">
            <v>50810076217302</v>
          </cell>
          <cell r="L645">
            <v>30810076217308</v>
          </cell>
          <cell r="M645">
            <v>0</v>
          </cell>
          <cell r="N645">
            <v>1</v>
          </cell>
          <cell r="P645">
            <v>45</v>
          </cell>
        </row>
        <row r="646">
          <cell r="F646" t="str">
            <v>LL-WM-0005</v>
          </cell>
          <cell r="G646" t="str">
            <v>May26 Sidekick - FA - WALMART - 12</v>
          </cell>
          <cell r="H646" t="str">
            <v>Y</v>
          </cell>
          <cell r="I646" t="str">
            <v>511</v>
          </cell>
          <cell r="J646">
            <v>810076215112</v>
          </cell>
          <cell r="K646">
            <v>50810076215117</v>
          </cell>
          <cell r="L646">
            <v>30810076215113</v>
          </cell>
          <cell r="M646">
            <v>0</v>
          </cell>
          <cell r="N646">
            <v>1</v>
          </cell>
          <cell r="O646"/>
          <cell r="P646">
            <v>60</v>
          </cell>
        </row>
        <row r="647">
          <cell r="F647" t="str">
            <v>LL-WM-9905</v>
          </cell>
          <cell r="G647" t="str">
            <v>May26 Sidekick - FA - WALMART - Empty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  <cell r="P647">
            <v>0</v>
          </cell>
        </row>
        <row r="648">
          <cell r="F648" t="str">
            <v>LL-WM-0006</v>
          </cell>
          <cell r="G648" t="str">
            <v>Oct26 Sidekick - FA - WALMART - 16</v>
          </cell>
          <cell r="H648" t="str">
            <v>Y</v>
          </cell>
          <cell r="I648" t="str">
            <v>559</v>
          </cell>
          <cell r="J648">
            <v>810076215594</v>
          </cell>
          <cell r="M648">
            <v>0</v>
          </cell>
          <cell r="N648">
            <v>1</v>
          </cell>
          <cell r="P648">
            <v>80</v>
          </cell>
        </row>
        <row r="649">
          <cell r="F649" t="str">
            <v>LL-WM-9906</v>
          </cell>
          <cell r="G649" t="str">
            <v>Oct26 Sidekick - FA - WALMART - Empty</v>
          </cell>
          <cell r="H649" t="str">
            <v>N</v>
          </cell>
          <cell r="I649" t="str">
            <v/>
          </cell>
          <cell r="J649"/>
          <cell r="K649"/>
          <cell r="L649"/>
          <cell r="M649">
            <v>0</v>
          </cell>
          <cell r="N649">
            <v>1</v>
          </cell>
          <cell r="O649"/>
          <cell r="P649">
            <v>0</v>
          </cell>
        </row>
        <row r="650">
          <cell r="F650" t="str">
            <v>LL-00-0011</v>
          </cell>
          <cell r="G650" t="str">
            <v>May26 Sidecap - FA Minis - 72</v>
          </cell>
          <cell r="H650" t="str">
            <v>Y</v>
          </cell>
          <cell r="I650" t="str">
            <v>405</v>
          </cell>
          <cell r="J650">
            <v>810076214054</v>
          </cell>
          <cell r="K650">
            <v>50810076214059</v>
          </cell>
          <cell r="L650">
            <v>30810076214055</v>
          </cell>
          <cell r="M650">
            <v>0</v>
          </cell>
          <cell r="N650">
            <v>1</v>
          </cell>
          <cell r="P650">
            <v>252</v>
          </cell>
        </row>
        <row r="651">
          <cell r="F651" t="str">
            <v>LL-99-0011</v>
          </cell>
          <cell r="G651" t="str">
            <v>BTS FA Mini Empty</v>
          </cell>
          <cell r="H651" t="str">
            <v>N</v>
          </cell>
          <cell r="I651" t="str">
            <v>406</v>
          </cell>
          <cell r="J651">
            <v>810076214061</v>
          </cell>
          <cell r="K651">
            <v>50810076214066</v>
          </cell>
          <cell r="L651">
            <v>30810076214062</v>
          </cell>
          <cell r="M651">
            <v>0</v>
          </cell>
          <cell r="N651">
            <v>1</v>
          </cell>
        </row>
        <row r="652">
          <cell r="F652" t="str">
            <v>LL-01-2026</v>
          </cell>
          <cell r="G652" t="str">
            <v>2026 Product Catalogue</v>
          </cell>
          <cell r="H652" t="str">
            <v>N</v>
          </cell>
          <cell r="I652" t="str">
            <v>413</v>
          </cell>
          <cell r="J652">
            <v>810076214139</v>
          </cell>
          <cell r="K652">
            <v>50810076214134</v>
          </cell>
          <cell r="L652">
            <v>30810076214130</v>
          </cell>
          <cell r="M652">
            <v>0</v>
          </cell>
          <cell r="N652">
            <v>1</v>
          </cell>
        </row>
        <row r="653">
          <cell r="F653" t="str">
            <v>LL-02-2026</v>
          </cell>
          <cell r="G653" t="str">
            <v>2026 Product Catalogue - H2</v>
          </cell>
          <cell r="H653" t="str">
            <v>N</v>
          </cell>
          <cell r="I653" t="str">
            <v/>
          </cell>
          <cell r="M653">
            <v>0</v>
          </cell>
          <cell r="N653">
            <v>1</v>
          </cell>
        </row>
        <row r="654">
          <cell r="F654" t="str">
            <v>LL-00-0014</v>
          </cell>
          <cell r="G654" t="str">
            <v>FA Mini - Counter Display - 36</v>
          </cell>
          <cell r="H654" t="str">
            <v>Y</v>
          </cell>
          <cell r="I654" t="str">
            <v>437</v>
          </cell>
          <cell r="J654">
            <v>810076214375</v>
          </cell>
          <cell r="K654">
            <v>50810076214370</v>
          </cell>
          <cell r="L654">
            <v>30810076214376</v>
          </cell>
          <cell r="M654">
            <v>0</v>
          </cell>
          <cell r="N654">
            <v>1</v>
          </cell>
          <cell r="P654">
            <v>126</v>
          </cell>
        </row>
        <row r="655">
          <cell r="F655" t="str">
            <v>LL-99-0014</v>
          </cell>
          <cell r="G655" t="str">
            <v>FA Mini - Counter Display - Empty</v>
          </cell>
          <cell r="H655" t="str">
            <v>N</v>
          </cell>
          <cell r="I655" t="str">
            <v>619</v>
          </cell>
          <cell r="J655">
            <v>810076216195</v>
          </cell>
          <cell r="K655">
            <v>50810076216190</v>
          </cell>
          <cell r="L655">
            <v>30810076216196</v>
          </cell>
          <cell r="M655">
            <v>0</v>
          </cell>
          <cell r="N655">
            <v>1</v>
          </cell>
        </row>
        <row r="656">
          <cell r="F656" t="str">
            <v>LL-00-0032</v>
          </cell>
          <cell r="G656" t="str">
            <v>FA Mini - PDQ Display - Full - 6</v>
          </cell>
          <cell r="H656" t="str">
            <v>Y</v>
          </cell>
          <cell r="I656" t="str">
            <v>562</v>
          </cell>
          <cell r="J656">
            <v>810076215624</v>
          </cell>
          <cell r="K656">
            <v>50810076215629</v>
          </cell>
          <cell r="L656">
            <v>30810076215625</v>
          </cell>
          <cell r="M656">
            <v>0</v>
          </cell>
          <cell r="N656">
            <v>1</v>
          </cell>
          <cell r="P656">
            <v>21</v>
          </cell>
        </row>
        <row r="657">
          <cell r="F657" t="str">
            <v>LL-99-0032</v>
          </cell>
          <cell r="G657" t="str">
            <v>FA Mini - PDQ Display - Empty</v>
          </cell>
          <cell r="H657" t="str">
            <v>N</v>
          </cell>
          <cell r="I657" t="str">
            <v/>
          </cell>
          <cell r="M657">
            <v>0</v>
          </cell>
          <cell r="N657">
            <v>1</v>
          </cell>
        </row>
        <row r="658">
          <cell r="F658" t="str">
            <v>LL-00-0034</v>
          </cell>
          <cell r="G658" t="str">
            <v>FA Mini - Stew Leonard - 36</v>
          </cell>
          <cell r="H658" t="str">
            <v>N</v>
          </cell>
          <cell r="I658" t="str">
            <v>577</v>
          </cell>
          <cell r="J658">
            <v>810076215778</v>
          </cell>
          <cell r="K658">
            <v>50810076215773</v>
          </cell>
          <cell r="L658">
            <v>30810076215779</v>
          </cell>
          <cell r="M658">
            <v>0</v>
          </cell>
          <cell r="N658">
            <v>1</v>
          </cell>
          <cell r="P658">
            <v>21</v>
          </cell>
        </row>
        <row r="659">
          <cell r="F659" t="str">
            <v>LL-00-0015</v>
          </cell>
          <cell r="G659" t="str">
            <v>FA Holiday Mini - Counter Display - Full</v>
          </cell>
          <cell r="H659" t="str">
            <v>Y</v>
          </cell>
          <cell r="I659" t="str">
            <v>438</v>
          </cell>
          <cell r="J659">
            <v>810076214382</v>
          </cell>
          <cell r="K659">
            <v>50810076214387</v>
          </cell>
          <cell r="L659">
            <v>30810076214383</v>
          </cell>
          <cell r="M659">
            <v>0</v>
          </cell>
          <cell r="N659">
            <v>1</v>
          </cell>
          <cell r="P659">
            <v>126</v>
          </cell>
        </row>
        <row r="660">
          <cell r="F660" t="str">
            <v>LL-99-0015</v>
          </cell>
          <cell r="G660" t="str">
            <v>FA Holiday Mini - Counter Display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LL-99-3087</v>
          </cell>
          <cell r="G661" t="str">
            <v>UNIVERSAL COUNTER DISPLAY - EMPTY</v>
          </cell>
          <cell r="H661" t="str">
            <v>N</v>
          </cell>
          <cell r="I661" t="str">
            <v>214</v>
          </cell>
          <cell r="J661">
            <v>810076212142</v>
          </cell>
          <cell r="K661">
            <v>50810076212147</v>
          </cell>
          <cell r="L661">
            <v>30810076212143</v>
          </cell>
          <cell r="M661"/>
          <cell r="N661"/>
          <cell r="O661">
            <v>0</v>
          </cell>
          <cell r="P661">
            <v>0</v>
          </cell>
        </row>
        <row r="662">
          <cell r="F662" t="str">
            <v>LL-00-0017</v>
          </cell>
          <cell r="G662" t="str">
            <v>Writing - Counter Display - Full</v>
          </cell>
          <cell r="H662" t="str">
            <v>Y</v>
          </cell>
          <cell r="I662" t="str">
            <v>440</v>
          </cell>
          <cell r="J662">
            <v>810076214405</v>
          </cell>
          <cell r="K662">
            <v>50810076214400</v>
          </cell>
          <cell r="L662">
            <v>30810076214406</v>
          </cell>
          <cell r="M662">
            <v>0</v>
          </cell>
          <cell r="N662">
            <v>1</v>
          </cell>
        </row>
        <row r="663">
          <cell r="F663" t="str">
            <v>LL-00-0012</v>
          </cell>
          <cell r="G663" t="str">
            <v>Holiday Sidecap - FA Minis</v>
          </cell>
          <cell r="H663" t="str">
            <v>Y</v>
          </cell>
          <cell r="I663" t="str">
            <v>430</v>
          </cell>
          <cell r="J663">
            <v>810076214306</v>
          </cell>
          <cell r="K663">
            <v>50810076214301</v>
          </cell>
          <cell r="L663">
            <v>30810076214307</v>
          </cell>
          <cell r="M663">
            <v>0</v>
          </cell>
          <cell r="N663">
            <v>1</v>
          </cell>
        </row>
        <row r="664">
          <cell r="F664" t="str">
            <v>LL-99-0012</v>
          </cell>
          <cell r="G664" t="str">
            <v>Holiday FA Mini Empty</v>
          </cell>
          <cell r="H664" t="str">
            <v>N</v>
          </cell>
          <cell r="I664" t="str">
            <v>431</v>
          </cell>
          <cell r="J664">
            <v>810076214313</v>
          </cell>
          <cell r="K664">
            <v>50810076214318</v>
          </cell>
          <cell r="L664">
            <v>30810076214314</v>
          </cell>
          <cell r="M664">
            <v>0</v>
          </cell>
          <cell r="N664">
            <v>1</v>
          </cell>
          <cell r="O664"/>
          <cell r="P664">
            <v>252</v>
          </cell>
        </row>
        <row r="665">
          <cell r="F665" t="str">
            <v>LL-00-0024</v>
          </cell>
          <cell r="G665" t="str">
            <v>FlowArt Grocery Display Evergreen - 24</v>
          </cell>
          <cell r="H665" t="str">
            <v>Y</v>
          </cell>
          <cell r="I665" t="str">
            <v>517</v>
          </cell>
          <cell r="J665">
            <v>810076215174</v>
          </cell>
          <cell r="K665">
            <v>50810076215179</v>
          </cell>
          <cell r="L665">
            <v>30810076215175</v>
          </cell>
          <cell r="M665">
            <v>0</v>
          </cell>
          <cell r="N665">
            <v>1</v>
          </cell>
          <cell r="O665">
            <v>159.84</v>
          </cell>
          <cell r="P665">
            <v>120</v>
          </cell>
        </row>
        <row r="666">
          <cell r="F666" t="str">
            <v>LL-99-0024</v>
          </cell>
          <cell r="G666" t="str">
            <v>FlowArt Grocery Display Evergreen - Empty</v>
          </cell>
          <cell r="H666" t="str">
            <v>N</v>
          </cell>
          <cell r="I666" t="str">
            <v/>
          </cell>
          <cell r="M666">
            <v>0</v>
          </cell>
          <cell r="N666">
            <v>1</v>
          </cell>
        </row>
        <row r="667">
          <cell r="F667" t="str">
            <v>LL-00-0025</v>
          </cell>
          <cell r="G667" t="str">
            <v>FlowArt Summer Grocery Display - 24</v>
          </cell>
          <cell r="H667" t="str">
            <v>N</v>
          </cell>
          <cell r="I667" t="str">
            <v>518</v>
          </cell>
          <cell r="J667">
            <v>810076215181</v>
          </cell>
          <cell r="K667">
            <v>50810076215186</v>
          </cell>
          <cell r="L667">
            <v>30810076215182</v>
          </cell>
          <cell r="M667">
            <v>0</v>
          </cell>
          <cell r="N667">
            <v>1</v>
          </cell>
          <cell r="O667">
            <v>159.84</v>
          </cell>
          <cell r="P667">
            <v>120</v>
          </cell>
        </row>
        <row r="668">
          <cell r="F668" t="str">
            <v>LL-99-0025</v>
          </cell>
          <cell r="G668" t="str">
            <v>FlowArt Summer Grocery Display - Empty</v>
          </cell>
          <cell r="H668" t="str">
            <v>N</v>
          </cell>
          <cell r="I668" t="str">
            <v/>
          </cell>
          <cell r="M668">
            <v>0</v>
          </cell>
          <cell r="N668">
            <v>1</v>
          </cell>
        </row>
        <row r="669">
          <cell r="F669" t="str">
            <v>LL-00-0026</v>
          </cell>
          <cell r="G669" t="str">
            <v>FlowArt Fall Grocery Display - 24</v>
          </cell>
          <cell r="H669" t="str">
            <v>Y</v>
          </cell>
          <cell r="I669" t="str">
            <v>519</v>
          </cell>
          <cell r="J669">
            <v>810076215198</v>
          </cell>
          <cell r="K669">
            <v>50810076215193</v>
          </cell>
          <cell r="L669">
            <v>30810076215199</v>
          </cell>
          <cell r="M669">
            <v>0</v>
          </cell>
          <cell r="N669">
            <v>1</v>
          </cell>
          <cell r="O669">
            <v>159.84</v>
          </cell>
          <cell r="P669">
            <v>120</v>
          </cell>
        </row>
        <row r="670">
          <cell r="F670" t="str">
            <v>LL-99-0026</v>
          </cell>
          <cell r="G670" t="str">
            <v>FlowArt Fall Grocery Display - Empty</v>
          </cell>
          <cell r="H670" t="str">
            <v>N</v>
          </cell>
          <cell r="I670" t="str">
            <v/>
          </cell>
          <cell r="M670">
            <v>0</v>
          </cell>
          <cell r="N670">
            <v>1</v>
          </cell>
        </row>
        <row r="671">
          <cell r="F671" t="str">
            <v>LL-00-0026-V2</v>
          </cell>
          <cell r="G671" t="str">
            <v>FlowArt Fall Grocery Display - 24 - Version 2</v>
          </cell>
          <cell r="H671" t="str">
            <v>Y</v>
          </cell>
          <cell r="I671" t="str">
            <v/>
          </cell>
          <cell r="M671">
            <v>0</v>
          </cell>
          <cell r="N671">
            <v>1</v>
          </cell>
          <cell r="O671">
            <v>159.84</v>
          </cell>
          <cell r="P671">
            <v>80</v>
          </cell>
        </row>
        <row r="672">
          <cell r="F672" t="str">
            <v>LL-00-0027</v>
          </cell>
          <cell r="G672" t="str">
            <v>FlowArt Holiday Grocery Display - 24</v>
          </cell>
          <cell r="H672" t="str">
            <v>Y</v>
          </cell>
          <cell r="I672" t="str">
            <v>520</v>
          </cell>
          <cell r="J672">
            <v>810076215204</v>
          </cell>
          <cell r="K672">
            <v>50810076215209</v>
          </cell>
          <cell r="L672">
            <v>30810076215205</v>
          </cell>
          <cell r="M672">
            <v>0</v>
          </cell>
          <cell r="N672">
            <v>1</v>
          </cell>
          <cell r="O672">
            <v>239.76</v>
          </cell>
          <cell r="P672">
            <v>120</v>
          </cell>
        </row>
        <row r="673">
          <cell r="F673" t="str">
            <v>LL-99-0027</v>
          </cell>
          <cell r="G673" t="str">
            <v>FlowArt Holiday Grocery Display - Empty</v>
          </cell>
          <cell r="H673" t="str">
            <v>N</v>
          </cell>
          <cell r="I673" t="str">
            <v/>
          </cell>
          <cell r="M673">
            <v>0</v>
          </cell>
          <cell r="N673">
            <v>1</v>
          </cell>
          <cell r="O673">
            <v>239.76</v>
          </cell>
          <cell r="P673">
            <v>120</v>
          </cell>
        </row>
        <row r="674">
          <cell r="F674" t="str">
            <v>LL-00-0028</v>
          </cell>
          <cell r="G674" t="str">
            <v>FlowArt Mini Grocery Display - 36</v>
          </cell>
          <cell r="H674" t="str">
            <v>N</v>
          </cell>
          <cell r="I674" t="str">
            <v>521</v>
          </cell>
          <cell r="J674">
            <v>810076215211</v>
          </cell>
          <cell r="K674">
            <v>50810076215216</v>
          </cell>
          <cell r="L674">
            <v>30810076215212</v>
          </cell>
          <cell r="M674">
            <v>0</v>
          </cell>
          <cell r="N674">
            <v>1</v>
          </cell>
          <cell r="O674">
            <v>251.64000000000001</v>
          </cell>
          <cell r="P674">
            <v>126</v>
          </cell>
        </row>
        <row r="675">
          <cell r="F675" t="str">
            <v>LL-99-0028</v>
          </cell>
          <cell r="G675" t="str">
            <v>FlowArt Mini Grocery Display - Empty</v>
          </cell>
          <cell r="H675" t="str">
            <v>N</v>
          </cell>
          <cell r="I675" t="str">
            <v/>
          </cell>
          <cell r="M675">
            <v>0</v>
          </cell>
          <cell r="N675">
            <v>1</v>
          </cell>
          <cell r="O675">
            <v>251.64000000000001</v>
          </cell>
          <cell r="P675">
            <v>126</v>
          </cell>
        </row>
        <row r="676">
          <cell r="F676" t="str">
            <v>LL-00-0029</v>
          </cell>
          <cell r="G676" t="str">
            <v>FlowArt Mini Holiday Grocery Display - 36</v>
          </cell>
          <cell r="H676" t="str">
            <v>N</v>
          </cell>
          <cell r="I676" t="str">
            <v>522</v>
          </cell>
          <cell r="J676">
            <v>810076215228</v>
          </cell>
          <cell r="K676">
            <v>50810076215223</v>
          </cell>
          <cell r="L676">
            <v>30810076215229</v>
          </cell>
          <cell r="M676">
            <v>0</v>
          </cell>
          <cell r="N676">
            <v>1</v>
          </cell>
          <cell r="O676">
            <v>251.64000000000001</v>
          </cell>
          <cell r="P676">
            <v>126</v>
          </cell>
        </row>
        <row r="677">
          <cell r="F677" t="str">
            <v>LL-99-0029</v>
          </cell>
          <cell r="G677" t="str">
            <v>FlowArt Mini Holiday Grocery Display - Empty</v>
          </cell>
          <cell r="H677" t="str">
            <v>N</v>
          </cell>
          <cell r="I677" t="str">
            <v/>
          </cell>
          <cell r="J677"/>
          <cell r="K677"/>
          <cell r="L677"/>
          <cell r="M677">
            <v>0</v>
          </cell>
          <cell r="N677">
            <v>1</v>
          </cell>
          <cell r="O677">
            <v>251.64000000000001</v>
          </cell>
          <cell r="P677">
            <v>126</v>
          </cell>
        </row>
        <row r="678">
          <cell r="F678" t="str">
            <v>LL-00-0040</v>
          </cell>
          <cell r="G678" t="str">
            <v>FlowArt MINI EXPRESS - WMT - 70 - #1</v>
          </cell>
          <cell r="H678" t="str">
            <v>Y</v>
          </cell>
          <cell r="I678" t="str">
            <v/>
          </cell>
          <cell r="J678"/>
          <cell r="K678"/>
          <cell r="L678"/>
          <cell r="M678">
            <v>0</v>
          </cell>
          <cell r="N678">
            <v>1</v>
          </cell>
          <cell r="O678">
            <v>251.64000000000001</v>
          </cell>
          <cell r="P678">
            <v>126</v>
          </cell>
        </row>
        <row r="679">
          <cell r="F679" t="str">
            <v>LL-99-0040</v>
          </cell>
          <cell r="G679" t="str">
            <v>FlowArt MINI EXPRESS - WMT - EMPTY- #1</v>
          </cell>
          <cell r="H679" t="str">
            <v>N</v>
          </cell>
          <cell r="I679" t="str">
            <v/>
          </cell>
          <cell r="J679"/>
          <cell r="K679"/>
          <cell r="L679"/>
          <cell r="M679">
            <v>0</v>
          </cell>
          <cell r="N679">
            <v>1</v>
          </cell>
          <cell r="O679">
            <v>251.64000000000001</v>
          </cell>
          <cell r="P679">
            <v>126</v>
          </cell>
        </row>
        <row r="680">
          <cell r="F680" t="str">
            <v>LL-00-0041</v>
          </cell>
          <cell r="G680" t="str">
            <v>FlowArt MINI EXPRESS - WMT - 70 - #2</v>
          </cell>
          <cell r="H680" t="str">
            <v>N</v>
          </cell>
          <cell r="I680" t="str">
            <v/>
          </cell>
          <cell r="J680"/>
          <cell r="K680"/>
          <cell r="L680"/>
          <cell r="M680">
            <v>0</v>
          </cell>
          <cell r="N680">
            <v>1</v>
          </cell>
          <cell r="O680">
            <v>251.64000000000001</v>
          </cell>
          <cell r="P680">
            <v>126</v>
          </cell>
        </row>
        <row r="681">
          <cell r="F681" t="str">
            <v>LL-99-0041</v>
          </cell>
          <cell r="G681" t="str">
            <v>FlowArt MINI EXPRESS - WMT - EMPTY- #2</v>
          </cell>
          <cell r="H681" t="str">
            <v>N</v>
          </cell>
          <cell r="I681" t="str">
            <v/>
          </cell>
          <cell r="J681"/>
          <cell r="K681"/>
          <cell r="L681"/>
          <cell r="M681">
            <v>0</v>
          </cell>
          <cell r="N681">
            <v>1</v>
          </cell>
          <cell r="O681">
            <v>251.64000000000001</v>
          </cell>
          <cell r="P681">
            <v>126</v>
          </cell>
        </row>
        <row r="682">
          <cell r="F682" t="str">
            <v>LL-00-0042</v>
          </cell>
          <cell r="G682" t="str">
            <v>FlowArt MINI EXPRESS - TGT Cross-Stitch - 72 - #1</v>
          </cell>
          <cell r="H682" t="str">
            <v>Y</v>
          </cell>
          <cell r="I682" t="str">
            <v>664</v>
          </cell>
          <cell r="J682">
            <v>810076216645</v>
          </cell>
          <cell r="K682">
            <v>50810076216640</v>
          </cell>
          <cell r="L682">
            <v>30810076216646</v>
          </cell>
          <cell r="M682">
            <v>0</v>
          </cell>
          <cell r="N682">
            <v>1</v>
          </cell>
          <cell r="O682">
            <v>251.64000000000001</v>
          </cell>
          <cell r="P682">
            <v>126</v>
          </cell>
        </row>
        <row r="683">
          <cell r="F683" t="str">
            <v>LL-99-0042</v>
          </cell>
          <cell r="G683" t="str">
            <v>FlowArt MINI EXPRESS - TGT Cross-Stitch - EMPTY - #1</v>
          </cell>
          <cell r="H683" t="str">
            <v>N</v>
          </cell>
          <cell r="I683" t="str">
            <v/>
          </cell>
          <cell r="J683"/>
          <cell r="K683"/>
          <cell r="L683"/>
          <cell r="M683">
            <v>0</v>
          </cell>
          <cell r="N683">
            <v>1</v>
          </cell>
          <cell r="O683">
            <v>251.64000000000001</v>
          </cell>
          <cell r="P683">
            <v>126</v>
          </cell>
        </row>
        <row r="684">
          <cell r="F684" t="str">
            <v>LL-00-0037</v>
          </cell>
          <cell r="G684" t="str">
            <v>FlowArt Mini Holiday Pharmacy Display - 40</v>
          </cell>
          <cell r="H684" t="str">
            <v>Y</v>
          </cell>
          <cell r="I684" t="str">
            <v>647</v>
          </cell>
          <cell r="J684">
            <v>810076216478</v>
          </cell>
          <cell r="K684">
            <v>50810076216473</v>
          </cell>
          <cell r="L684">
            <v>30810076216479</v>
          </cell>
          <cell r="M684">
            <v>0</v>
          </cell>
          <cell r="N684">
            <v>1</v>
          </cell>
          <cell r="O684">
            <v>251.64000000000001</v>
          </cell>
          <cell r="P684">
            <v>126</v>
          </cell>
        </row>
        <row r="685">
          <cell r="F685" t="str">
            <v>LL-99-0037</v>
          </cell>
          <cell r="G685" t="str">
            <v>FlowArt Mini Holiday Pharmacy Display - Empty</v>
          </cell>
          <cell r="H685" t="str">
            <v>N</v>
          </cell>
          <cell r="I685" t="str">
            <v/>
          </cell>
          <cell r="J685"/>
          <cell r="K685"/>
          <cell r="L685"/>
          <cell r="M685">
            <v>0</v>
          </cell>
          <cell r="N685">
            <v>1</v>
          </cell>
          <cell r="O685">
            <v>251.64000000000001</v>
          </cell>
          <cell r="P685">
            <v>126</v>
          </cell>
        </row>
        <row r="686">
          <cell r="F686" t="str">
            <v>LL-DG-9930</v>
          </cell>
          <cell r="G686" t="str">
            <v>FlowArt Mini EXPRESS - DISPLAY 1 - EMPTY</v>
          </cell>
          <cell r="H686" t="str">
            <v>N</v>
          </cell>
          <cell r="I686" t="str">
            <v/>
          </cell>
          <cell r="M686">
            <v>0</v>
          </cell>
          <cell r="N686">
            <v>1</v>
          </cell>
        </row>
        <row r="687">
          <cell r="F687" t="str">
            <v>LL-DG-0030</v>
          </cell>
          <cell r="G687" t="str">
            <v>FlowArt Mini EXPRESS - DISPLAY 1 - 36</v>
          </cell>
          <cell r="H687" t="str">
            <v>Y</v>
          </cell>
          <cell r="I687" t="str">
            <v>557</v>
          </cell>
          <cell r="J687">
            <v>810076215570</v>
          </cell>
          <cell r="K687">
            <v>50810076215575</v>
          </cell>
          <cell r="L687">
            <v>30810076215571</v>
          </cell>
          <cell r="M687">
            <v>0</v>
          </cell>
          <cell r="N687">
            <v>1</v>
          </cell>
          <cell r="O687">
            <v>179.64000000000001</v>
          </cell>
          <cell r="P687">
            <v>80.28</v>
          </cell>
        </row>
        <row r="688">
          <cell r="F688" t="str">
            <v>LL-DG-0031</v>
          </cell>
          <cell r="G688" t="str">
            <v>FlowArt Mini EXPRESS - DISPLAY 2 - 36</v>
          </cell>
          <cell r="H688" t="str">
            <v>N</v>
          </cell>
          <cell r="I688" t="str">
            <v>558</v>
          </cell>
          <cell r="J688">
            <v>810076215587</v>
          </cell>
          <cell r="K688">
            <v>50810076215582</v>
          </cell>
          <cell r="L688">
            <v>30810076215588</v>
          </cell>
          <cell r="M688">
            <v>0</v>
          </cell>
          <cell r="N688">
            <v>1</v>
          </cell>
          <cell r="O688">
            <v>179.64000000000001</v>
          </cell>
          <cell r="P688">
            <v>80.28</v>
          </cell>
        </row>
        <row r="689">
          <cell r="F689" t="str">
            <v>LL-99-0039</v>
          </cell>
          <cell r="G689" t="str">
            <v>FlowArt MINI Spring Display - Empty</v>
          </cell>
          <cell r="H689" t="str">
            <v>N</v>
          </cell>
          <cell r="I689" t="str">
            <v/>
          </cell>
          <cell r="M689">
            <v>0</v>
          </cell>
          <cell r="N689">
            <v>1</v>
          </cell>
        </row>
        <row r="690">
          <cell r="F690" t="str">
            <v>LL-00-0039</v>
          </cell>
          <cell r="G690" t="str">
            <v>FlowArt MINI Spring Display - 36</v>
          </cell>
          <cell r="H690" t="str">
            <v>Y</v>
          </cell>
          <cell r="I690" t="str">
            <v>634</v>
          </cell>
          <cell r="J690">
            <v>810076216348</v>
          </cell>
          <cell r="K690">
            <v>50810076216343</v>
          </cell>
          <cell r="L690">
            <v>30810076216349</v>
          </cell>
          <cell r="M690">
            <v>0</v>
          </cell>
          <cell r="N690">
            <v>1</v>
          </cell>
          <cell r="O690">
            <v>143.76</v>
          </cell>
          <cell r="P690">
            <v>120</v>
          </cell>
        </row>
        <row r="691">
          <cell r="F691" t="str">
            <v>LL-99-0038</v>
          </cell>
          <cell r="G691" t="str">
            <v>FlowArt Spring Display - Empty</v>
          </cell>
          <cell r="H691" t="str">
            <v>N</v>
          </cell>
          <cell r="I691" t="str">
            <v/>
          </cell>
          <cell r="M691">
            <v>0</v>
          </cell>
          <cell r="N691">
            <v>1</v>
          </cell>
        </row>
        <row r="692">
          <cell r="F692" t="str">
            <v>LL-00-0038</v>
          </cell>
          <cell r="G692" t="str">
            <v>FlowArt Spring Display - 24</v>
          </cell>
          <cell r="H692" t="str">
            <v>Y</v>
          </cell>
          <cell r="I692" t="str">
            <v>632</v>
          </cell>
          <cell r="J692">
            <v>810076216324</v>
          </cell>
          <cell r="K692">
            <v>50810076216329</v>
          </cell>
          <cell r="L692">
            <v>30810076216325</v>
          </cell>
          <cell r="M692">
            <v>0</v>
          </cell>
          <cell r="N692">
            <v>1</v>
          </cell>
          <cell r="O692">
            <v>239.76</v>
          </cell>
          <cell r="P692">
            <v>120</v>
          </cell>
        </row>
        <row r="693">
          <cell r="F693" t="str">
            <v>LL-99-0033</v>
          </cell>
          <cell r="G693" t="str">
            <v>FlowArt Valentine Display - Empty</v>
          </cell>
          <cell r="H693" t="str">
            <v>N</v>
          </cell>
          <cell r="I693" t="str">
            <v/>
          </cell>
          <cell r="M693">
            <v>0</v>
          </cell>
          <cell r="N693">
            <v>1</v>
          </cell>
        </row>
        <row r="694">
          <cell r="F694" t="str">
            <v>LL-00-0033</v>
          </cell>
          <cell r="G694" t="str">
            <v>FlowArt Valentine Display - 24</v>
          </cell>
          <cell r="H694" t="str">
            <v>Y</v>
          </cell>
          <cell r="I694" t="str">
            <v>576</v>
          </cell>
          <cell r="J694">
            <v>810076215761</v>
          </cell>
          <cell r="K694">
            <v>50810076215766</v>
          </cell>
          <cell r="L694">
            <v>30810076215762</v>
          </cell>
          <cell r="M694">
            <v>0</v>
          </cell>
          <cell r="N694">
            <v>1</v>
          </cell>
          <cell r="O694">
            <v>239.76</v>
          </cell>
          <cell r="P694">
            <v>120</v>
          </cell>
        </row>
        <row r="695">
          <cell r="F695" t="str">
            <v>LL-00-0043</v>
          </cell>
          <cell r="G695" t="str">
            <v>FA Mini - Fixed Assortment - 6</v>
          </cell>
          <cell r="H695" t="str">
            <v>Y</v>
          </cell>
          <cell r="I695" t="str">
            <v>678</v>
          </cell>
          <cell r="J695">
            <v>810076216782</v>
          </cell>
          <cell r="K695">
            <v>50810076216787</v>
          </cell>
          <cell r="L695">
            <v>30810076216783</v>
          </cell>
          <cell r="M695">
            <v>0</v>
          </cell>
          <cell r="N695">
            <v>1</v>
          </cell>
          <cell r="O695"/>
          <cell r="P695"/>
        </row>
        <row r="696">
          <cell r="F696" t="str">
            <v>LL-DISP-FA-SP26</v>
          </cell>
          <cell r="G696" t="str">
            <v>MT 2026 - FA Spring / Summer - 36</v>
          </cell>
          <cell r="H696" t="str">
            <v>Y</v>
          </cell>
          <cell r="I696" t="str">
            <v>473</v>
          </cell>
          <cell r="J696">
            <v>810076214733</v>
          </cell>
          <cell r="K696">
            <v>50810076214738</v>
          </cell>
          <cell r="L696">
            <v>30810076214734</v>
          </cell>
          <cell r="M696">
            <v>0</v>
          </cell>
          <cell r="N696">
            <v>1</v>
          </cell>
        </row>
        <row r="697">
          <cell r="F697" t="str">
            <v>LL-DISP-FA-FA26</v>
          </cell>
          <cell r="G697" t="str">
            <v>MT 2026 - FA Fall - 24</v>
          </cell>
          <cell r="H697" t="str">
            <v>Y</v>
          </cell>
          <cell r="I697" t="str">
            <v>474</v>
          </cell>
          <cell r="J697">
            <v>810076214740</v>
          </cell>
          <cell r="K697">
            <v>50810076214745</v>
          </cell>
          <cell r="L697">
            <v>30810076214741</v>
          </cell>
          <cell r="M697">
            <v>0</v>
          </cell>
          <cell r="N697">
            <v>1</v>
          </cell>
        </row>
        <row r="698">
          <cell r="F698" t="str">
            <v>LL-DISP-FA-WN26</v>
          </cell>
          <cell r="G698" t="str">
            <v>MT 2026 - FA Winter - 24</v>
          </cell>
          <cell r="H698" t="str">
            <v>Y</v>
          </cell>
          <cell r="I698" t="str">
            <v>475</v>
          </cell>
          <cell r="J698">
            <v>810076214757</v>
          </cell>
          <cell r="K698">
            <v>50810076214752</v>
          </cell>
          <cell r="L698">
            <v>30810076214758</v>
          </cell>
          <cell r="M698">
            <v>0</v>
          </cell>
          <cell r="N698">
            <v>1</v>
          </cell>
          <cell r="O698"/>
          <cell r="P698"/>
        </row>
        <row r="699">
          <cell r="F699" t="str">
            <v>LL-DISP-WR2</v>
          </cell>
          <cell r="G699" t="str">
            <v>MT 2026 - Writing Display - 32</v>
          </cell>
          <cell r="H699" t="str">
            <v>Y</v>
          </cell>
          <cell r="I699" t="str">
            <v/>
          </cell>
          <cell r="M699">
            <v>0</v>
          </cell>
          <cell r="N699">
            <v>1</v>
          </cell>
        </row>
        <row r="700">
          <cell r="F700" t="str">
            <v>LL-DISP-WR1</v>
          </cell>
          <cell r="G700" t="str">
            <v>MT 2026 - Writing Display - 46</v>
          </cell>
          <cell r="H700" t="str">
            <v>Y</v>
          </cell>
          <cell r="I700" t="str">
            <v/>
          </cell>
          <cell r="M700">
            <v>0</v>
          </cell>
          <cell r="N700">
            <v>1</v>
          </cell>
        </row>
        <row r="701">
          <cell r="F701" t="str">
            <v>LL-RO-FA48</v>
          </cell>
          <cell r="G701" t="str">
            <v>MT 2026 - FA REORDER - 48</v>
          </cell>
          <cell r="H701" t="str">
            <v>Y</v>
          </cell>
          <cell r="I701" t="str">
            <v/>
          </cell>
          <cell r="M701">
            <v>0</v>
          </cell>
          <cell r="N701">
            <v>1</v>
          </cell>
        </row>
        <row r="702">
          <cell r="F702" t="str">
            <v>LL-TWR-FA160</v>
          </cell>
          <cell r="G702" t="str">
            <v>MT 2026 - FA Tower - 160</v>
          </cell>
          <cell r="H702" t="str">
            <v>Y</v>
          </cell>
          <cell r="I702" t="str">
            <v/>
          </cell>
          <cell r="M702">
            <v>0</v>
          </cell>
          <cell r="N702">
            <v>1</v>
          </cell>
        </row>
        <row r="703">
          <cell r="F703" t="str">
            <v>LL-DISP-FA2</v>
          </cell>
          <cell r="G703" t="str">
            <v>MT 2026 - FA Display - 36</v>
          </cell>
          <cell r="H703" t="str">
            <v>Y</v>
          </cell>
          <cell r="I703" t="str">
            <v/>
          </cell>
          <cell r="M703">
            <v>0</v>
          </cell>
          <cell r="N703">
            <v>1</v>
          </cell>
        </row>
        <row r="704">
          <cell r="F704" t="str">
            <v>LL-00-0016</v>
          </cell>
          <cell r="G704" t="str">
            <v>FA - Counter Display - Full - 36</v>
          </cell>
          <cell r="H704" t="str">
            <v>Y</v>
          </cell>
          <cell r="I704" t="str">
            <v>439</v>
          </cell>
          <cell r="J704">
            <v>810076214399</v>
          </cell>
          <cell r="K704">
            <v>50810076214394</v>
          </cell>
          <cell r="L704">
            <v>30810076214390</v>
          </cell>
          <cell r="M704">
            <v>0</v>
          </cell>
          <cell r="N704">
            <v>1</v>
          </cell>
          <cell r="P704">
            <v>180</v>
          </cell>
        </row>
        <row r="705">
          <cell r="F705" t="str">
            <v>LL-DISP-FA1</v>
          </cell>
          <cell r="G705" t="str">
            <v>MT 2026 - FA Display - 80</v>
          </cell>
          <cell r="H705" t="str">
            <v>Y</v>
          </cell>
          <cell r="I705" t="str">
            <v/>
          </cell>
          <cell r="M705">
            <v>0</v>
          </cell>
          <cell r="N705">
            <v>1</v>
          </cell>
        </row>
        <row r="706">
          <cell r="F706" t="str">
            <v>LL-00-0004</v>
          </cell>
          <cell r="G706" t="str">
            <v>FlowArt - Spinner Tower - Empty</v>
          </cell>
          <cell r="H706" t="str">
            <v>N</v>
          </cell>
          <cell r="I706" t="str">
            <v>317</v>
          </cell>
          <cell r="J706">
            <v>810076213170</v>
          </cell>
          <cell r="K706">
            <v>50810076213175</v>
          </cell>
          <cell r="L706">
            <v>30810076213171</v>
          </cell>
          <cell r="M706">
            <v>0</v>
          </cell>
          <cell r="N706">
            <v>1</v>
          </cell>
        </row>
        <row r="707">
          <cell r="F707" t="str">
            <v>LL-00-0018</v>
          </cell>
          <cell r="G707" t="str">
            <v>FlowArt - Spinner Tower - Full - 80</v>
          </cell>
          <cell r="H707" t="str">
            <v>Y</v>
          </cell>
          <cell r="I707" t="str">
            <v>441</v>
          </cell>
          <cell r="J707">
            <v>810076214412</v>
          </cell>
          <cell r="K707">
            <v>50810076214417</v>
          </cell>
          <cell r="L707">
            <v>30810076214413</v>
          </cell>
          <cell r="M707">
            <v>0</v>
          </cell>
          <cell r="N707">
            <v>1</v>
          </cell>
          <cell r="O707"/>
          <cell r="P707">
            <v>400</v>
          </cell>
        </row>
        <row r="708">
          <cell r="F708" t="str">
            <v>LL-00-0036</v>
          </cell>
          <cell r="G708" t="str">
            <v>FlowArt - DBL - Full - 4</v>
          </cell>
          <cell r="H708" t="str">
            <v>Y</v>
          </cell>
          <cell r="I708" t="str">
            <v>611</v>
          </cell>
          <cell r="J708">
            <v>810076216119</v>
          </cell>
          <cell r="K708">
            <v>50810076216114</v>
          </cell>
          <cell r="L708">
            <v>30810076216110</v>
          </cell>
          <cell r="M708">
            <v>0</v>
          </cell>
          <cell r="N708">
            <v>1</v>
          </cell>
        </row>
        <row r="709">
          <cell r="F709" t="str">
            <v>LL-99-0036</v>
          </cell>
          <cell r="G709" t="str">
            <v>FlowArt - DBL - Empty - 4</v>
          </cell>
          <cell r="H709" t="str">
            <v>N</v>
          </cell>
          <cell r="I709" t="str">
            <v>612</v>
          </cell>
          <cell r="J709">
            <v>810076216126</v>
          </cell>
          <cell r="K709">
            <v>50810076216121</v>
          </cell>
          <cell r="L709">
            <v>30810076216127</v>
          </cell>
          <cell r="M709">
            <v>0</v>
          </cell>
          <cell r="N709">
            <v>1</v>
          </cell>
          <cell r="O709"/>
          <cell r="P709"/>
        </row>
        <row r="710">
          <cell r="F710" t="str">
            <v>LL-TOTE-BAG1</v>
          </cell>
          <cell r="G710" t="str">
            <v>Lifelines Tote</v>
          </cell>
          <cell r="H710" t="str">
            <v>N</v>
          </cell>
          <cell r="I710" t="str">
            <v/>
          </cell>
          <cell r="J710"/>
          <cell r="K710"/>
          <cell r="L710"/>
          <cell r="M710">
            <v>0</v>
          </cell>
          <cell r="N710">
            <v>100</v>
          </cell>
          <cell r="O710"/>
          <cell r="P710"/>
        </row>
        <row r="711">
          <cell r="F711" t="str">
            <v>99-9101</v>
          </cell>
          <cell r="G711" t="str">
            <v>Assortment, PDQ - Oil Blends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99-9500</v>
          </cell>
          <cell r="G712" t="str">
            <v>Assortment, PDQ - Scented Writing Essentials</v>
          </cell>
          <cell r="H712" t="str">
            <v>N</v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</row>
        <row r="713">
          <cell r="F713" t="str">
            <v>99-9505</v>
          </cell>
          <cell r="G713" t="str">
            <v>Tabletop Writing Display - Assortment</v>
          </cell>
          <cell r="H713" t="str">
            <v>N</v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</row>
        <row r="714">
          <cell r="F714" t="str">
            <v>DS01-1001</v>
          </cell>
          <cell r="G714" t="str">
            <v>TYT Journal + CMA Pen + Pencils</v>
          </cell>
          <cell r="H714" t="str">
            <v>N</v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</row>
        <row r="715">
          <cell r="F715" t="str">
            <v>DS01-1002</v>
          </cell>
          <cell r="G715" t="str">
            <v>SIU BG + CMA Pen + Pencils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DS01-1003</v>
          </cell>
          <cell r="G716" t="str">
            <v>Everyday Diffuser + Discovery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DS01-1004</v>
          </cell>
          <cell r="G717" t="str">
            <v>Waves + CMA 4Pck</v>
          </cell>
          <cell r="H717" t="str">
            <v>N</v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</row>
        <row r="718">
          <cell r="F718" t="str">
            <v>DS01-1005</v>
          </cell>
          <cell r="G718" t="str">
            <v>Motion Fidget + Discovery</v>
          </cell>
          <cell r="H718" t="str">
            <v>N</v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</row>
        <row r="719">
          <cell r="F719" t="str">
            <v>DS01-1006</v>
          </cell>
          <cell r="G719" t="str">
            <v>Meditative Fidget + Discovery</v>
          </cell>
          <cell r="H719" t="str">
            <v>N</v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</row>
        <row r="720">
          <cell r="F720" t="str">
            <v>DS01-1007</v>
          </cell>
          <cell r="G720" t="str">
            <v>Gift Set + CMA Pen + Workbook</v>
          </cell>
          <cell r="H720" t="str">
            <v>N</v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</row>
        <row r="721">
          <cell r="F721" t="str">
            <v>DS01-1008</v>
          </cell>
          <cell r="G721" t="str">
            <v>Lifelines Bath and Shower Diffuser Set</v>
          </cell>
          <cell r="H721" t="str">
            <v>N</v>
          </cell>
          <cell r="I721" t="str">
            <v/>
          </cell>
          <cell r="J721" t="str">
            <v/>
          </cell>
          <cell r="K721" t="str">
            <v/>
          </cell>
          <cell r="L721" t="str">
            <v/>
          </cell>
          <cell r="M721"/>
          <cell r="N721"/>
          <cell r="O721"/>
          <cell r="P721"/>
        </row>
        <row r="722">
          <cell r="F722" t="str">
            <v>99-8302</v>
          </cell>
          <cell r="G722" t="str">
            <v>2024 BNC Spring Shipper Replen</v>
          </cell>
          <cell r="H722" t="str">
            <v>N</v>
          </cell>
          <cell r="I722" t="str">
            <v/>
          </cell>
          <cell r="J722" t="str">
            <v/>
          </cell>
          <cell r="K722" t="str">
            <v/>
          </cell>
          <cell r="L722" t="str">
            <v/>
          </cell>
        </row>
        <row r="723">
          <cell r="F723" t="str">
            <v>99-8501</v>
          </cell>
          <cell r="G723" t="str">
            <v>BNC Writing Counter Display</v>
          </cell>
          <cell r="H723" t="str">
            <v>Y</v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</row>
        <row r="724">
          <cell r="F724" t="str">
            <v>99-9002</v>
          </cell>
          <cell r="G724" t="str">
            <v>Assortment, PDQ - Aroma Introduction</v>
          </cell>
          <cell r="H724" t="str">
            <v>N</v>
          </cell>
          <cell r="I724" t="str">
            <v/>
          </cell>
          <cell r="J724" t="str">
            <v/>
          </cell>
          <cell r="K724" t="str">
            <v/>
          </cell>
          <cell r="L724" t="str">
            <v/>
          </cell>
        </row>
        <row r="725">
          <cell r="F725">
            <v>999003</v>
          </cell>
          <cell r="G725" t="str">
            <v>BNC Floor Display</v>
          </cell>
          <cell r="H725" t="str">
            <v>N</v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</row>
        <row r="726">
          <cell r="F726">
            <v>999004</v>
          </cell>
          <cell r="G726" t="str">
            <v>Empty BNC Floor Display</v>
          </cell>
          <cell r="H726" t="str">
            <v>N</v>
          </cell>
          <cell r="I726" t="str">
            <v/>
          </cell>
          <cell r="J726" t="str">
            <v/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  <cell r="O726"/>
          <cell r="P726"/>
        </row>
        <row r="727">
          <cell r="F727" t="str">
            <v>LL-98-3220</v>
          </cell>
          <cell r="G727" t="str">
            <v>FlowArt 2Pck:TbLetter + Within [3206 + 3207]</v>
          </cell>
          <cell r="H727" t="str">
            <v>N</v>
          </cell>
          <cell r="I727" t="str">
            <v>392</v>
          </cell>
          <cell r="J727">
            <v>810076213927</v>
          </cell>
          <cell r="K727">
            <v>50810076213922</v>
          </cell>
          <cell r="L727">
            <v>30810076213928</v>
          </cell>
          <cell r="M727"/>
          <cell r="N727">
            <v>20</v>
          </cell>
          <cell r="O727">
            <v>29.99</v>
          </cell>
          <cell r="P727">
            <v>14.994999999999999</v>
          </cell>
        </row>
        <row r="728">
          <cell r="F728" t="str">
            <v>LL-20-3304</v>
          </cell>
          <cell r="G728" t="str">
            <v>FlowArt: Mini, Holiday 3Pck #2</v>
          </cell>
          <cell r="H728" t="str">
            <v>Y</v>
          </cell>
          <cell r="I728" t="str">
            <v>491</v>
          </cell>
          <cell r="J728">
            <v>810076214917</v>
          </cell>
          <cell r="K728">
            <v>50810076214912</v>
          </cell>
          <cell r="L728">
            <v>30810076214918</v>
          </cell>
          <cell r="M728"/>
          <cell r="N728"/>
        </row>
        <row r="729">
          <cell r="F729" t="str">
            <v>LL-20-3226</v>
          </cell>
          <cell r="G729" t="str">
            <v>FlowArt: Mini, 3Pck #3</v>
          </cell>
          <cell r="H729" t="str">
            <v>N</v>
          </cell>
          <cell r="I729" t="str">
            <v>398</v>
          </cell>
          <cell r="J729">
            <v>810076213989</v>
          </cell>
          <cell r="K729">
            <v>50810076213984</v>
          </cell>
          <cell r="L729">
            <v>30810076213980</v>
          </cell>
          <cell r="M729">
            <v>4</v>
          </cell>
          <cell r="N729">
            <v>12</v>
          </cell>
          <cell r="O729">
            <v>19.989999999999998</v>
          </cell>
          <cell r="P729">
            <v>9.9949999999999992</v>
          </cell>
        </row>
        <row r="730">
          <cell r="F730" t="str">
            <v>LL-20-3252</v>
          </cell>
          <cell r="G730" t="str">
            <v>FlowArt: Mini Single - Holiday Cheer</v>
          </cell>
          <cell r="H730" t="str">
            <v>Y</v>
          </cell>
          <cell r="I730" t="str">
            <v>426</v>
          </cell>
          <cell r="J730">
            <v>810076214269</v>
          </cell>
          <cell r="K730">
            <v>50810076214264</v>
          </cell>
          <cell r="L730">
            <v>30810076214260</v>
          </cell>
          <cell r="M730">
            <v>6</v>
          </cell>
          <cell r="N730">
            <v>24</v>
          </cell>
          <cell r="O730">
            <v>6.99</v>
          </cell>
          <cell r="P730">
            <v>3.4950000000000001</v>
          </cell>
        </row>
        <row r="731">
          <cell r="F731" t="str">
            <v>LL-20-3253</v>
          </cell>
          <cell r="G731" t="str">
            <v>FlowArt: Mini Single - Sugar &amp; Spice</v>
          </cell>
          <cell r="H731" t="str">
            <v>Y</v>
          </cell>
          <cell r="I731" t="str">
            <v>427</v>
          </cell>
          <cell r="J731">
            <v>810076214276</v>
          </cell>
          <cell r="K731">
            <v>50810076214271</v>
          </cell>
          <cell r="L731">
            <v>30810076214277</v>
          </cell>
          <cell r="M731">
            <v>6</v>
          </cell>
          <cell r="N731">
            <v>24</v>
          </cell>
          <cell r="O731">
            <v>6.99</v>
          </cell>
          <cell r="P731">
            <v>3.4950000000000001</v>
          </cell>
        </row>
        <row r="732">
          <cell r="F732" t="str">
            <v>LL-20-3254</v>
          </cell>
          <cell r="G732" t="str">
            <v>FlowArt: Mini Single - Merry &amp; Bright</v>
          </cell>
          <cell r="H732" t="str">
            <v>Y</v>
          </cell>
          <cell r="I732" t="str">
            <v>428</v>
          </cell>
          <cell r="J732">
            <v>810076214283</v>
          </cell>
          <cell r="K732">
            <v>50810076214288</v>
          </cell>
          <cell r="L732">
            <v>30810076214284</v>
          </cell>
          <cell r="M732">
            <v>6</v>
          </cell>
          <cell r="N732">
            <v>24</v>
          </cell>
          <cell r="O732">
            <v>6.99</v>
          </cell>
          <cell r="P732">
            <v>3.4950000000000001</v>
          </cell>
        </row>
        <row r="733">
          <cell r="F733" t="str">
            <v>LL-20-3268</v>
          </cell>
          <cell r="G733" t="str">
            <v>FlowArt Minis: Nature's Wonder - WMT</v>
          </cell>
          <cell r="H733" t="str">
            <v>N</v>
          </cell>
          <cell r="I733" t="str">
            <v>450</v>
          </cell>
          <cell r="J733">
            <v>810076214504</v>
          </cell>
          <cell r="K733">
            <v>50810076214509</v>
          </cell>
          <cell r="L733">
            <v>30810076214505</v>
          </cell>
          <cell r="M733">
            <v>6</v>
          </cell>
          <cell r="N733">
            <v>24</v>
          </cell>
          <cell r="O733">
            <v>6.99</v>
          </cell>
          <cell r="P733">
            <v>3.4950000000000001</v>
          </cell>
        </row>
        <row r="734">
          <cell r="F734" t="str">
            <v>LL-20-3269</v>
          </cell>
          <cell r="G734" t="str">
            <v>FlowArt Minis: Furry Friends - WMT</v>
          </cell>
          <cell r="H734" t="str">
            <v>N</v>
          </cell>
          <cell r="I734" t="str">
            <v>451</v>
          </cell>
          <cell r="J734">
            <v>810076214511</v>
          </cell>
          <cell r="K734">
            <v>50810076214516</v>
          </cell>
          <cell r="L734">
            <v>30810076214512</v>
          </cell>
          <cell r="M734">
            <v>6</v>
          </cell>
          <cell r="N734">
            <v>24</v>
          </cell>
          <cell r="O734">
            <v>6.99</v>
          </cell>
          <cell r="P734">
            <v>3.4950000000000001</v>
          </cell>
        </row>
        <row r="735">
          <cell r="F735" t="str">
            <v>LL-20-3270</v>
          </cell>
          <cell r="G735" t="str">
            <v>FlowArt Minis: Pretty Petals - WMT</v>
          </cell>
          <cell r="H735" t="str">
            <v>N</v>
          </cell>
          <cell r="I735" t="str">
            <v>452</v>
          </cell>
          <cell r="J735">
            <v>810076214528</v>
          </cell>
          <cell r="K735">
            <v>50810076214523</v>
          </cell>
          <cell r="L735">
            <v>30810076214529</v>
          </cell>
          <cell r="M735">
            <v>6</v>
          </cell>
          <cell r="N735">
            <v>24</v>
          </cell>
          <cell r="O735">
            <v>6.99</v>
          </cell>
          <cell r="P735">
            <v>3.4950000000000001</v>
          </cell>
        </row>
        <row r="736">
          <cell r="F736" t="str">
            <v>LL-16-3262</v>
          </cell>
          <cell r="G736" t="str">
            <v>FlowArt Trace By Line: Holiday Icons  - WMT</v>
          </cell>
          <cell r="H736" t="str">
            <v>N</v>
          </cell>
          <cell r="I736" t="str">
            <v>444</v>
          </cell>
          <cell r="J736">
            <v>810076214443</v>
          </cell>
          <cell r="K736">
            <v>50810076214448</v>
          </cell>
          <cell r="L736">
            <v>30810076214444</v>
          </cell>
          <cell r="M736">
            <v>6</v>
          </cell>
          <cell r="N736">
            <v>24</v>
          </cell>
          <cell r="O736">
            <v>10</v>
          </cell>
          <cell r="P736">
            <v>5</v>
          </cell>
        </row>
        <row r="737">
          <cell r="F737" t="str">
            <v>LL-16-3264</v>
          </cell>
          <cell r="G737" t="str">
            <v>FlowArt Dot-By-Letter: Woodland Wonders - WMT</v>
          </cell>
          <cell r="H737" t="str">
            <v>N</v>
          </cell>
          <cell r="I737" t="str">
            <v>446</v>
          </cell>
          <cell r="J737">
            <v>810076214467</v>
          </cell>
          <cell r="K737">
            <v>50810076214462</v>
          </cell>
          <cell r="L737">
            <v>30810076214468</v>
          </cell>
          <cell r="M737">
            <v>6</v>
          </cell>
          <cell r="N737">
            <v>24</v>
          </cell>
          <cell r="O737">
            <v>10</v>
          </cell>
          <cell r="P737">
            <v>5</v>
          </cell>
        </row>
        <row r="738">
          <cell r="F738" t="str">
            <v>LL-16-3265</v>
          </cell>
          <cell r="G738" t="str">
            <v>FlowArt Dot-By Letter: Majestic Earth - WMT [Metallic]</v>
          </cell>
          <cell r="H738" t="str">
            <v>N</v>
          </cell>
          <cell r="I738" t="str">
            <v>447</v>
          </cell>
          <cell r="J738">
            <v>810076214474</v>
          </cell>
          <cell r="K738">
            <v>50810076214479</v>
          </cell>
          <cell r="L738">
            <v>30810076214475</v>
          </cell>
          <cell r="M738">
            <v>6</v>
          </cell>
          <cell r="N738">
            <v>24</v>
          </cell>
          <cell r="O738">
            <v>10</v>
          </cell>
          <cell r="P738">
            <v>5</v>
          </cell>
        </row>
        <row r="739">
          <cell r="F739" t="str">
            <v>LL-16-3260</v>
          </cell>
          <cell r="G739" t="str">
            <v>FlowArt Dot-By-Letter: Holiday Classic  - WMT</v>
          </cell>
          <cell r="H739" t="str">
            <v>N</v>
          </cell>
          <cell r="I739" t="str">
            <v>442</v>
          </cell>
          <cell r="J739">
            <v>810076214429</v>
          </cell>
          <cell r="K739">
            <v>50810076214424</v>
          </cell>
          <cell r="L739">
            <v>30810076214420</v>
          </cell>
          <cell r="M739">
            <v>6</v>
          </cell>
          <cell r="N739">
            <v>24</v>
          </cell>
          <cell r="O739">
            <v>10</v>
          </cell>
          <cell r="P739">
            <v>5</v>
          </cell>
        </row>
        <row r="740">
          <cell r="F740" t="str">
            <v>LL-16-3267</v>
          </cell>
          <cell r="G740" t="str">
            <v>FlowArt Trace By Line: Sea Life Wonders - WMT</v>
          </cell>
          <cell r="H740" t="str">
            <v>N</v>
          </cell>
          <cell r="I740" t="str">
            <v>449</v>
          </cell>
          <cell r="J740">
            <v>810076214498</v>
          </cell>
          <cell r="K740">
            <v>50810076214493</v>
          </cell>
          <cell r="L740">
            <v>30810076214499</v>
          </cell>
          <cell r="M740">
            <v>6</v>
          </cell>
          <cell r="N740">
            <v>24</v>
          </cell>
          <cell r="O740">
            <v>10</v>
          </cell>
          <cell r="P740">
            <v>5</v>
          </cell>
        </row>
        <row r="741">
          <cell r="F741" t="str">
            <v>LL-16-3282</v>
          </cell>
          <cell r="G741" t="str">
            <v>FlowArt Dot-By-Letter Metallic Theme TBD 2 - WMT</v>
          </cell>
          <cell r="H741" t="str">
            <v>N</v>
          </cell>
          <cell r="I741" t="str">
            <v>469</v>
          </cell>
          <cell r="J741">
            <v>810076214696</v>
          </cell>
          <cell r="K741">
            <v>50810076214691</v>
          </cell>
          <cell r="L741">
            <v>30810076214697</v>
          </cell>
          <cell r="M741">
            <v>6</v>
          </cell>
          <cell r="N741">
            <v>24</v>
          </cell>
          <cell r="O741">
            <v>10</v>
          </cell>
          <cell r="P741">
            <v>5</v>
          </cell>
        </row>
        <row r="742">
          <cell r="F742" t="str">
            <v>LL-16-3143</v>
          </cell>
          <cell r="G742" t="str">
            <v>FlowArt: Illuminate &amp; Create, Wildlife - WALMART PKG</v>
          </cell>
          <cell r="H742" t="str">
            <v>N</v>
          </cell>
          <cell r="I742" t="str">
            <v>286</v>
          </cell>
          <cell r="J742">
            <v>810076212869</v>
          </cell>
          <cell r="K742">
            <v>50810076212864</v>
          </cell>
          <cell r="L742">
            <v>30810076212860</v>
          </cell>
        </row>
        <row r="743">
          <cell r="F743" t="str">
            <v>LL-12-3131</v>
          </cell>
          <cell r="G743" t="str">
            <v>Scented Lava Pen Set- 5-pack  - WALMART PKG</v>
          </cell>
          <cell r="H743" t="str">
            <v>Y</v>
          </cell>
          <cell r="I743" t="str">
            <v>274</v>
          </cell>
          <cell r="J743">
            <v>810076212746</v>
          </cell>
          <cell r="K743">
            <v>50810076212741</v>
          </cell>
          <cell r="L743">
            <v>30810076212747</v>
          </cell>
        </row>
        <row r="744">
          <cell r="F744" t="str">
            <v>LL-16-3142</v>
          </cell>
          <cell r="G744" t="str">
            <v>FlowArt: Illuminate &amp; Create, Foliage and Flowers - WALMART PKG</v>
          </cell>
          <cell r="H744" t="str">
            <v>Y</v>
          </cell>
          <cell r="I744" t="str">
            <v>285</v>
          </cell>
          <cell r="J744">
            <v>810076212852</v>
          </cell>
          <cell r="K744">
            <v>50810076212857</v>
          </cell>
          <cell r="L744">
            <v>30810076212853</v>
          </cell>
        </row>
        <row r="745">
          <cell r="F745" t="str">
            <v>LL-12-3135</v>
          </cell>
          <cell r="G745" t="str">
            <v>Pen Diffuser with Essential Oil Blends -  Strawberry Milkshake - WALMART PKG</v>
          </cell>
          <cell r="H745" t="str">
            <v>Y</v>
          </cell>
          <cell r="I745" t="str">
            <v>278</v>
          </cell>
          <cell r="J745">
            <v>810076212784</v>
          </cell>
          <cell r="K745">
            <v>50810076212789</v>
          </cell>
          <cell r="L745">
            <v>30810076212785</v>
          </cell>
        </row>
        <row r="746">
          <cell r="F746" t="str">
            <v>LL-12-3134</v>
          </cell>
          <cell r="G746" t="str">
            <v>Scented Lava Pen Set - 2-pack (Lime Green / Violet)  - WALMART PKG</v>
          </cell>
          <cell r="H746" t="str">
            <v>N</v>
          </cell>
          <cell r="I746" t="str">
            <v>277</v>
          </cell>
          <cell r="J746">
            <v>810076212777</v>
          </cell>
          <cell r="K746">
            <v>50810076212772</v>
          </cell>
          <cell r="L746">
            <v>30810076212778</v>
          </cell>
        </row>
        <row r="747">
          <cell r="F747" t="str">
            <v>LL-14-3145</v>
          </cell>
          <cell r="G747" t="str">
            <v>DIFFUSER, LED,Bubble (Cream) - WALMART PKG</v>
          </cell>
          <cell r="H747" t="str">
            <v>N</v>
          </cell>
          <cell r="I747" t="str">
            <v>288</v>
          </cell>
          <cell r="J747">
            <v>810076212883</v>
          </cell>
          <cell r="K747">
            <v>50810076212888</v>
          </cell>
          <cell r="L747">
            <v>30810076212884</v>
          </cell>
        </row>
        <row r="748">
          <cell r="F748" t="str">
            <v>LL-14-3147</v>
          </cell>
          <cell r="G748" t="str">
            <v>Plant Diffuser - Succulent - Two Toned - WALMART PKG</v>
          </cell>
          <cell r="H748" t="str">
            <v>N</v>
          </cell>
          <cell r="I748" t="str">
            <v>290</v>
          </cell>
          <cell r="J748">
            <v>810076212906</v>
          </cell>
          <cell r="K748">
            <v>50810076212901</v>
          </cell>
          <cell r="L748">
            <v>30810076212907</v>
          </cell>
        </row>
        <row r="749">
          <cell r="F749" t="str">
            <v>LL-98-3171</v>
          </cell>
          <cell r="G749" t="str">
            <v>Ultimate Essential Oil Gift Set with EDPD - WALMART PKG</v>
          </cell>
          <cell r="H749" t="str">
            <v>N</v>
          </cell>
          <cell r="I749" t="str">
            <v>315</v>
          </cell>
          <cell r="J749">
            <v>810076213156</v>
          </cell>
          <cell r="K749">
            <v>50810076213151</v>
          </cell>
          <cell r="L749">
            <v>30810076213157</v>
          </cell>
          <cell r="M749"/>
          <cell r="N749"/>
          <cell r="O749"/>
          <cell r="P749"/>
        </row>
        <row r="750">
          <cell r="F750" t="str">
            <v>LL-11-3087</v>
          </cell>
          <cell r="G750" t="str">
            <v>Clickwick 2PK - SKU 5</v>
          </cell>
          <cell r="H750" t="str">
            <v>N</v>
          </cell>
          <cell r="I750" t="str">
            <v>215</v>
          </cell>
          <cell r="J750">
            <v>810076212159</v>
          </cell>
          <cell r="K750">
            <v>50810076212154</v>
          </cell>
          <cell r="L750">
            <v>30810076212150</v>
          </cell>
          <cell r="M750"/>
          <cell r="N750"/>
          <cell r="O750">
            <v>26.99</v>
          </cell>
          <cell r="P750">
            <v>13.494999999999999</v>
          </cell>
        </row>
        <row r="751">
          <cell r="F751" t="str">
            <v>LL-11-3088</v>
          </cell>
          <cell r="G751" t="str">
            <v>Clickwick 2PK - SKU 6</v>
          </cell>
          <cell r="H751" t="str">
            <v>N</v>
          </cell>
          <cell r="I751" t="str">
            <v>216</v>
          </cell>
          <cell r="J751">
            <v>810076212166</v>
          </cell>
          <cell r="K751">
            <v>50810076212161</v>
          </cell>
          <cell r="L751">
            <v>30810076212167</v>
          </cell>
          <cell r="M751"/>
          <cell r="N751"/>
          <cell r="O751">
            <v>14.99</v>
          </cell>
          <cell r="P751">
            <v>7.4950000000000001</v>
          </cell>
        </row>
        <row r="752">
          <cell r="F752" t="str">
            <v>LL-11-3089</v>
          </cell>
          <cell r="G752" t="str">
            <v>Clickwick 2PK - SKU 7</v>
          </cell>
          <cell r="H752" t="str">
            <v>N</v>
          </cell>
          <cell r="I752" t="str">
            <v>217</v>
          </cell>
          <cell r="J752">
            <v>810076212173</v>
          </cell>
          <cell r="K752">
            <v>50810076212178</v>
          </cell>
          <cell r="L752">
            <v>30810076212174</v>
          </cell>
          <cell r="M752"/>
          <cell r="N752"/>
          <cell r="O752">
            <v>14.99</v>
          </cell>
          <cell r="P752">
            <v>7.4950000000000001</v>
          </cell>
        </row>
        <row r="753">
          <cell r="F753">
            <v>165002</v>
          </cell>
          <cell r="G753" t="str">
            <v>FlowArt - Pattern art - Fur &amp; feathers</v>
          </cell>
          <cell r="H753" t="str">
            <v>N</v>
          </cell>
          <cell r="I753" t="str">
            <v>147</v>
          </cell>
          <cell r="J753">
            <v>810076211473</v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</row>
        <row r="754">
          <cell r="F754">
            <v>165003</v>
          </cell>
          <cell r="G754" t="str">
            <v>FlowArt - Multiline art - Land</v>
          </cell>
          <cell r="H754" t="str">
            <v>N</v>
          </cell>
          <cell r="I754" t="str">
            <v>148</v>
          </cell>
          <cell r="J754">
            <v>810076211480</v>
          </cell>
          <cell r="K754" t="str">
            <v/>
          </cell>
          <cell r="L754" t="str">
            <v/>
          </cell>
          <cell r="M754" t="str">
            <v/>
          </cell>
          <cell r="N754" t="str">
            <v/>
          </cell>
        </row>
        <row r="755">
          <cell r="F755">
            <v>165004</v>
          </cell>
          <cell r="G755" t="str">
            <v>FlowArt - Mosaic art - Flora &amp; Fauna</v>
          </cell>
          <cell r="H755" t="str">
            <v>Y</v>
          </cell>
          <cell r="I755" t="str">
            <v>149</v>
          </cell>
          <cell r="J755">
            <v>810076211497</v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</row>
        <row r="756">
          <cell r="F756">
            <v>165010</v>
          </cell>
          <cell r="G756" t="str">
            <v>FlowArt - Pogo-dot - In the Garden</v>
          </cell>
          <cell r="H756" t="str">
            <v>N</v>
          </cell>
          <cell r="I756" t="str">
            <v>155</v>
          </cell>
          <cell r="J756">
            <v>810076211558</v>
          </cell>
          <cell r="K756" t="str">
            <v/>
          </cell>
          <cell r="L756" t="str">
            <v/>
          </cell>
          <cell r="M756" t="str">
            <v/>
          </cell>
          <cell r="N756" t="str">
            <v/>
          </cell>
        </row>
        <row r="757">
          <cell r="F757">
            <v>165011</v>
          </cell>
          <cell r="G757" t="str">
            <v>FlowArt - Dot-pop - Sea</v>
          </cell>
          <cell r="H757" t="str">
            <v>N</v>
          </cell>
          <cell r="I757" t="str">
            <v>156</v>
          </cell>
          <cell r="J757">
            <v>810076211565</v>
          </cell>
          <cell r="K757" t="str">
            <v/>
          </cell>
          <cell r="L757" t="str">
            <v/>
          </cell>
          <cell r="M757" t="str">
            <v/>
          </cell>
          <cell r="N757" t="str">
            <v/>
          </cell>
        </row>
        <row r="758">
          <cell r="F758">
            <v>165013</v>
          </cell>
          <cell r="G758" t="str">
            <v>FlowArt - Multiline art - Sea</v>
          </cell>
          <cell r="H758" t="str">
            <v>N</v>
          </cell>
          <cell r="I758" t="str">
            <v>158</v>
          </cell>
          <cell r="J758">
            <v>810076211589</v>
          </cell>
          <cell r="K758" t="str">
            <v/>
          </cell>
          <cell r="L758" t="str">
            <v/>
          </cell>
          <cell r="M758" t="str">
            <v/>
          </cell>
          <cell r="N758" t="str">
            <v/>
          </cell>
        </row>
        <row r="759">
          <cell r="F759">
            <v>167003</v>
          </cell>
          <cell r="G759" t="str">
            <v>Decor Art - Stencil Stationery</v>
          </cell>
          <cell r="H759" t="str">
            <v>N</v>
          </cell>
          <cell r="I759" t="str">
            <v>162</v>
          </cell>
          <cell r="J759">
            <v>810076211626</v>
          </cell>
          <cell r="K759" t="str">
            <v/>
          </cell>
          <cell r="L759" t="str">
            <v/>
          </cell>
          <cell r="M759" t="str">
            <v/>
          </cell>
          <cell r="N759" t="str">
            <v/>
          </cell>
        </row>
        <row r="760">
          <cell r="F760" t="str">
            <v>11-1613</v>
          </cell>
          <cell r="G760" t="str">
            <v>DIFFUSER, LED,Frosted Glass (Amber)</v>
          </cell>
          <cell r="H760" t="str">
            <v>N</v>
          </cell>
          <cell r="I760" t="str">
            <v>088</v>
          </cell>
          <cell r="J760">
            <v>810076210889</v>
          </cell>
          <cell r="K760" t="str">
            <v/>
          </cell>
          <cell r="L760" t="str">
            <v/>
          </cell>
        </row>
        <row r="761">
          <cell r="F761" t="str">
            <v>11-1614</v>
          </cell>
          <cell r="G761" t="str">
            <v>DIFFUSER, LED,Vertical Ribbed (White)</v>
          </cell>
          <cell r="H761" t="str">
            <v>N</v>
          </cell>
          <cell r="I761" t="str">
            <v>089</v>
          </cell>
          <cell r="J761">
            <v>810076210896</v>
          </cell>
          <cell r="K761" t="str">
            <v/>
          </cell>
          <cell r="L761" t="str">
            <v/>
          </cell>
        </row>
        <row r="762">
          <cell r="F762" t="str">
            <v>11-1615</v>
          </cell>
          <cell r="G762" t="str">
            <v>DIFFUSER, LED, Two Tone</v>
          </cell>
          <cell r="H762" t="str">
            <v>N</v>
          </cell>
          <cell r="I762" t="str">
            <v>090</v>
          </cell>
          <cell r="J762">
            <v>810076210902</v>
          </cell>
          <cell r="K762" t="str">
            <v/>
          </cell>
          <cell r="L762" t="str">
            <v/>
          </cell>
        </row>
        <row r="763">
          <cell r="F763" t="str">
            <v>11-1610</v>
          </cell>
          <cell r="G763" t="str">
            <v>Planter Diffuser -  Octagon (Cream)</v>
          </cell>
          <cell r="H763" t="str">
            <v>N</v>
          </cell>
          <cell r="I763" t="str">
            <v>095</v>
          </cell>
          <cell r="J763">
            <v>810076210957</v>
          </cell>
          <cell r="K763" t="str">
            <v/>
          </cell>
          <cell r="L763" t="str">
            <v/>
          </cell>
        </row>
        <row r="764">
          <cell r="F764" t="str">
            <v>16-0107</v>
          </cell>
          <cell r="G764" t="str">
            <v>Finger Maze Sensory Journal</v>
          </cell>
          <cell r="H764" t="str">
            <v>N</v>
          </cell>
          <cell r="I764" t="str">
            <v>100</v>
          </cell>
          <cell r="J764">
            <v>810076211008</v>
          </cell>
          <cell r="K764" t="str">
            <v/>
          </cell>
          <cell r="L764" t="str">
            <v/>
          </cell>
        </row>
        <row r="765">
          <cell r="F765" t="str">
            <v>LL-11-2522</v>
          </cell>
          <cell r="G765" t="str">
            <v>Lifelines Pen Diffuser with Essential Oil Blends -Diner (UO exclusive)</v>
          </cell>
          <cell r="H765" t="str">
            <v>N</v>
          </cell>
          <cell r="I765" t="str">
            <v>225</v>
          </cell>
          <cell r="J765">
            <v>810076212258</v>
          </cell>
          <cell r="K765">
            <v>50810076212253</v>
          </cell>
          <cell r="L765">
            <v>30810076212259</v>
          </cell>
          <cell r="M765"/>
          <cell r="N765"/>
          <cell r="O765">
            <v>39.99</v>
          </cell>
          <cell r="P765">
            <v>19.995000000000001</v>
          </cell>
        </row>
        <row r="766">
          <cell r="F766" t="str">
            <v>LL-11-2523</v>
          </cell>
          <cell r="G766" t="str">
            <v>Lifelines Pen Diffuser with Essential Oil Blends -Café  (UO exclusive)</v>
          </cell>
          <cell r="H766" t="str">
            <v>N</v>
          </cell>
          <cell r="I766" t="str">
            <v>226</v>
          </cell>
          <cell r="J766">
            <v>810076212265</v>
          </cell>
          <cell r="K766">
            <v>50810076212260</v>
          </cell>
          <cell r="L766">
            <v>30810076212266</v>
          </cell>
          <cell r="M766"/>
          <cell r="N766"/>
          <cell r="O766">
            <v>39.99</v>
          </cell>
          <cell r="P766">
            <v>19.995000000000001</v>
          </cell>
        </row>
        <row r="767">
          <cell r="F767" t="str">
            <v>LL-12-3238</v>
          </cell>
          <cell r="G767" t="str">
            <v>Mindful Motion Pen, Swirl 2Pck (X / X)</v>
          </cell>
          <cell r="H767" t="str">
            <v>Y</v>
          </cell>
          <cell r="I767" t="str">
            <v>412</v>
          </cell>
          <cell r="J767">
            <v>810076214122</v>
          </cell>
          <cell r="K767">
            <v>50810076214127</v>
          </cell>
          <cell r="L767">
            <v>30810076214123</v>
          </cell>
          <cell r="M767">
            <v>4</v>
          </cell>
          <cell r="N767">
            <v>12</v>
          </cell>
          <cell r="O767">
            <v>12.99</v>
          </cell>
          <cell r="P767">
            <v>6.4950000000000001</v>
          </cell>
        </row>
        <row r="768">
          <cell r="F768">
            <v>989518</v>
          </cell>
          <cell r="G768" t="str">
            <v>Lifelines Frosted Cream Candle with Clickwick (11-1603 &amp; 110455 Woodsy)</v>
          </cell>
          <cell r="H768" t="str">
            <v>N</v>
          </cell>
          <cell r="I768" t="str">
            <v>139</v>
          </cell>
          <cell r="J768">
            <v>810076211398</v>
          </cell>
          <cell r="K768" t="str">
            <v/>
          </cell>
          <cell r="L768" t="str">
            <v/>
          </cell>
          <cell r="M768"/>
          <cell r="N768"/>
          <cell r="O768">
            <v>41.98</v>
          </cell>
          <cell r="P768">
            <v>20.99</v>
          </cell>
        </row>
        <row r="769">
          <cell r="F769">
            <v>989519</v>
          </cell>
          <cell r="G769" t="str">
            <v>Lifelines Frosted Charcoal Candle with Clickwick (11-1612 &amp; 110454 Citrus/Bloom)</v>
          </cell>
          <cell r="H769" t="str">
            <v>N</v>
          </cell>
          <cell r="I769" t="str">
            <v>140</v>
          </cell>
          <cell r="J769">
            <v>810076211404</v>
          </cell>
          <cell r="K769" t="str">
            <v/>
          </cell>
          <cell r="L769" t="str">
            <v/>
          </cell>
          <cell r="M769"/>
          <cell r="N769"/>
          <cell r="O769">
            <v>41.98</v>
          </cell>
          <cell r="P769">
            <v>20.99</v>
          </cell>
        </row>
        <row r="770">
          <cell r="F770">
            <v>989520</v>
          </cell>
          <cell r="G770" t="str">
            <v>Lifelines Grass Planter with Clickwick (11-1608 &amp; 110454 citrus)</v>
          </cell>
          <cell r="H770" t="str">
            <v>N</v>
          </cell>
          <cell r="I770" t="str">
            <v>141</v>
          </cell>
          <cell r="J770">
            <v>810076211411</v>
          </cell>
          <cell r="K770" t="str">
            <v/>
          </cell>
          <cell r="L770" t="str">
            <v/>
          </cell>
          <cell r="M770"/>
          <cell r="N770"/>
          <cell r="O770">
            <v>41.98</v>
          </cell>
          <cell r="P770">
            <v>20.99</v>
          </cell>
        </row>
        <row r="771">
          <cell r="F771" t="str">
            <v>11-0451</v>
          </cell>
          <cell r="G771" t="str">
            <v>Clickwick Replacement Bloom, Citrus</v>
          </cell>
          <cell r="H771" t="str">
            <v>Y</v>
          </cell>
          <cell r="I771" t="str">
            <v>047</v>
          </cell>
          <cell r="J771">
            <v>810076210476</v>
          </cell>
          <cell r="K771" t="str">
            <v/>
          </cell>
          <cell r="L771" t="str">
            <v/>
          </cell>
          <cell r="O771">
            <v>11.99</v>
          </cell>
          <cell r="P771">
            <v>5.9950000000000001</v>
          </cell>
        </row>
        <row r="772">
          <cell r="F772" t="str">
            <v>99-9502</v>
          </cell>
          <cell r="G772" t="str">
            <v>Pen Display - Empty</v>
          </cell>
          <cell r="H772" t="str">
            <v>Y</v>
          </cell>
          <cell r="I772" t="str">
            <v/>
          </cell>
          <cell r="L772" t="str">
            <v/>
          </cell>
          <cell r="O772">
            <v>11.99</v>
          </cell>
          <cell r="P772">
            <v>5.9950000000000001</v>
          </cell>
        </row>
        <row r="773">
          <cell r="F773" t="str">
            <v>11-0452</v>
          </cell>
          <cell r="G773" t="str">
            <v>Clickwick Replacement Woods, Mountain</v>
          </cell>
          <cell r="H773" t="str">
            <v>Y</v>
          </cell>
          <cell r="I773" t="str">
            <v>048</v>
          </cell>
          <cell r="J773">
            <v>810076210483</v>
          </cell>
          <cell r="K773" t="str">
            <v/>
          </cell>
          <cell r="L773" t="str">
            <v/>
          </cell>
          <cell r="O773">
            <v>11.99</v>
          </cell>
          <cell r="P773">
            <v>5.9950000000000001</v>
          </cell>
        </row>
        <row r="774">
          <cell r="F774" t="str">
            <v>112522</v>
          </cell>
          <cell r="H774" t="str">
            <v>N</v>
          </cell>
          <cell r="I774" t="str">
            <v>193</v>
          </cell>
          <cell r="J774">
            <v>810076211930</v>
          </cell>
          <cell r="K774" t="str">
            <v/>
          </cell>
          <cell r="L774" t="str">
            <v/>
          </cell>
          <cell r="M774" t="str">
            <v/>
          </cell>
          <cell r="N774" t="str">
            <v/>
          </cell>
          <cell r="O774">
            <v>9.99</v>
          </cell>
          <cell r="P774">
            <v>4.9950000000000001</v>
          </cell>
        </row>
        <row r="775">
          <cell r="F775" t="str">
            <v>99-9501</v>
          </cell>
          <cell r="G775" t="str">
            <v xml:space="preserve">Pen Diffuser Assortment - 30 ct </v>
          </cell>
          <cell r="H775" t="str">
            <v>N</v>
          </cell>
          <cell r="I775" t="str">
            <v>077</v>
          </cell>
          <cell r="J775">
            <v>810076210773</v>
          </cell>
          <cell r="K775" t="str">
            <v/>
          </cell>
          <cell r="L775" t="str">
            <v/>
          </cell>
          <cell r="M775">
            <v>0</v>
          </cell>
          <cell r="N775">
            <v>1</v>
          </cell>
          <cell r="O775">
            <v>300</v>
          </cell>
          <cell r="P775">
            <v>150</v>
          </cell>
        </row>
        <row r="776">
          <cell r="F776" t="str">
            <v>11-1618</v>
          </cell>
          <cell r="G776" t="str">
            <v>DIFFUSER, LED,Winter Edition (Frosted Green)</v>
          </cell>
        </row>
        <row r="777">
          <cell r="F777" t="str">
            <v>98-9220</v>
          </cell>
          <cell r="G777" t="str">
            <v>Candle + Oil  BOX Set  (4 oils) - Frosted Cream Candle</v>
          </cell>
        </row>
        <row r="778">
          <cell r="F778" t="str">
            <v>LL-25-3275</v>
          </cell>
          <cell r="G778" t="str">
            <v>Scented Palm Calms 1 - Zen Garden - WMT</v>
          </cell>
          <cell r="H778" t="str">
            <v>N</v>
          </cell>
          <cell r="I778" t="str">
            <v>457</v>
          </cell>
          <cell r="J778">
            <v>810076214573</v>
          </cell>
          <cell r="K778">
            <v>50810076214578</v>
          </cell>
          <cell r="L778">
            <v>30810076214574</v>
          </cell>
          <cell r="M778">
            <v>4</v>
          </cell>
          <cell r="N778">
            <v>12</v>
          </cell>
          <cell r="O778">
            <v>15</v>
          </cell>
          <cell r="P778">
            <v>7.5</v>
          </cell>
        </row>
        <row r="779">
          <cell r="F779" t="str">
            <v>LL-25-3276</v>
          </cell>
          <cell r="G779" t="str">
            <v>Scented Palm Calms 2 - Spa Serenity - WMT</v>
          </cell>
          <cell r="H779" t="str">
            <v>N</v>
          </cell>
          <cell r="I779" t="str">
            <v>458</v>
          </cell>
          <cell r="J779">
            <v>810076214580</v>
          </cell>
          <cell r="K779">
            <v>50810076214585</v>
          </cell>
          <cell r="L779">
            <v>30810076214581</v>
          </cell>
          <cell r="M779">
            <v>4</v>
          </cell>
          <cell r="N779">
            <v>12</v>
          </cell>
          <cell r="O779">
            <v>15</v>
          </cell>
          <cell r="P779">
            <v>7.5</v>
          </cell>
        </row>
        <row r="780">
          <cell r="F780" t="str">
            <v>LL-25-3283</v>
          </cell>
          <cell r="G780" t="str">
            <v>Scented Palm Calms 4 - Zen Meditation - WMT</v>
          </cell>
          <cell r="H780" t="str">
            <v>N</v>
          </cell>
          <cell r="I780" t="str">
            <v>463</v>
          </cell>
          <cell r="J780">
            <v>810076214634</v>
          </cell>
          <cell r="K780">
            <v>50810076214639</v>
          </cell>
          <cell r="L780">
            <v>30810076214635</v>
          </cell>
          <cell r="M780">
            <v>4</v>
          </cell>
          <cell r="N780">
            <v>12</v>
          </cell>
          <cell r="O780">
            <v>15</v>
          </cell>
          <cell r="P780">
            <v>7.5</v>
          </cell>
        </row>
        <row r="781">
          <cell r="F781" t="str">
            <v>LL-25-3284</v>
          </cell>
          <cell r="G781" t="str">
            <v>Scented Palm Calms 5 - Forest Friends - WMT</v>
          </cell>
          <cell r="H781" t="str">
            <v>N</v>
          </cell>
          <cell r="I781" t="str">
            <v>464</v>
          </cell>
          <cell r="J781">
            <v>810076214641</v>
          </cell>
          <cell r="K781">
            <v>50810076214646</v>
          </cell>
          <cell r="L781">
            <v>30810076214642</v>
          </cell>
          <cell r="M781">
            <v>4</v>
          </cell>
          <cell r="N781">
            <v>12</v>
          </cell>
          <cell r="O781">
            <v>15</v>
          </cell>
          <cell r="P781">
            <v>7.5</v>
          </cell>
        </row>
        <row r="782">
          <cell r="F782" t="str">
            <v>LL-25-3285</v>
          </cell>
          <cell r="G782" t="str">
            <v>Scented Palm Calms 6 - Animal Friends - WMT</v>
          </cell>
          <cell r="H782" t="str">
            <v>N</v>
          </cell>
          <cell r="I782" t="str">
            <v>465</v>
          </cell>
          <cell r="J782">
            <v>810076214658</v>
          </cell>
          <cell r="K782">
            <v>50810076214653</v>
          </cell>
          <cell r="L782">
            <v>30810076214659</v>
          </cell>
          <cell r="M782">
            <v>4</v>
          </cell>
          <cell r="N782">
            <v>12</v>
          </cell>
          <cell r="O782">
            <v>15</v>
          </cell>
          <cell r="P782">
            <v>7.5</v>
          </cell>
        </row>
        <row r="783">
          <cell r="F783" t="str">
            <v>LL-25-3286</v>
          </cell>
          <cell r="G783" t="str">
            <v>Scented Palm Calms 7 - Writers Desk -  WMT</v>
          </cell>
          <cell r="H783" t="str">
            <v>N</v>
          </cell>
          <cell r="I783" t="str">
            <v>466</v>
          </cell>
          <cell r="J783">
            <v>810076214665</v>
          </cell>
          <cell r="K783">
            <v>50810076214660</v>
          </cell>
          <cell r="L783">
            <v>30810076214666</v>
          </cell>
          <cell r="M783">
            <v>4</v>
          </cell>
          <cell r="N783">
            <v>12</v>
          </cell>
          <cell r="O783">
            <v>15</v>
          </cell>
          <cell r="P783">
            <v>7.5</v>
          </cell>
        </row>
        <row r="784">
          <cell r="F784" t="str">
            <v>LL-25-3287</v>
          </cell>
          <cell r="G784" t="str">
            <v>Scented Palm Calms 8 - Little Books -  WMT</v>
          </cell>
          <cell r="H784" t="str">
            <v>N</v>
          </cell>
          <cell r="I784" t="str">
            <v>467</v>
          </cell>
          <cell r="J784">
            <v>810076214672</v>
          </cell>
          <cell r="K784">
            <v>50810076214677</v>
          </cell>
          <cell r="L784">
            <v>30810076214673</v>
          </cell>
          <cell r="M784">
            <v>4</v>
          </cell>
          <cell r="N784">
            <v>12</v>
          </cell>
          <cell r="O784">
            <v>15</v>
          </cell>
          <cell r="P784">
            <v>7.5</v>
          </cell>
        </row>
        <row r="785">
          <cell r="F785" t="str">
            <v>LL-25-3278</v>
          </cell>
          <cell r="G785" t="str">
            <v>Scented Palm Calms Discovery Set - WMT</v>
          </cell>
          <cell r="H785" t="str">
            <v>N</v>
          </cell>
          <cell r="I785" t="str">
            <v>460</v>
          </cell>
          <cell r="J785">
            <v>810076214603</v>
          </cell>
          <cell r="K785">
            <v>50810076214608</v>
          </cell>
          <cell r="L785">
            <v>30810076214604</v>
          </cell>
          <cell r="M785">
            <v>4</v>
          </cell>
          <cell r="N785">
            <v>12</v>
          </cell>
          <cell r="O785">
            <v>10</v>
          </cell>
          <cell r="P785">
            <v>5</v>
          </cell>
        </row>
        <row r="1485">
          <cell r="F1485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42"/>
  <sheetViews>
    <sheetView tabSelected="1" workbookViewId="0">
      <pane ySplit="4" topLeftCell="A56" activePane="bottomLeft" state="frozen"/>
      <selection pane="bottomLeft" activeCell="E22" sqref="E22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 s="6" customFormat="1">
      <c r="A5" s="6" t="s">
        <v>7</v>
      </c>
      <c r="B5" s="6">
        <v>1</v>
      </c>
      <c r="C5" s="7" t="s">
        <v>9</v>
      </c>
      <c r="D5" s="6" t="str">
        <f>IFERROR(IFERROR(VLOOKUP($C5, [1]SBOM!$F:$G, 2, FALSE), VLOOKUP(VALUE($C5), [1]SBOM!$F:$G, 2, FALSE)), "")</f>
        <v>FlowArt: Mini Single - Café Comforts</v>
      </c>
      <c r="E5" s="6">
        <v>6</v>
      </c>
      <c r="F5" s="8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3.5</v>
      </c>
    </row>
    <row r="6" spans="1:6" s="6" customFormat="1">
      <c r="A6" s="6" t="s">
        <v>7</v>
      </c>
      <c r="B6" s="6">
        <f>IF(A5=A6, B5+1, 1)</f>
        <v>2</v>
      </c>
      <c r="C6" s="7" t="s">
        <v>10</v>
      </c>
      <c r="D6" s="6" t="str">
        <f>IFERROR(IFERROR(VLOOKUP($C6, [1]SBOM!$F:$G, 2, FALSE), VLOOKUP(VALUE($C6), [1]SBOM!$F:$G, 2, FALSE)), "")</f>
        <v>FlowArt: Mini Single - Enchanted Magic</v>
      </c>
      <c r="E6" s="6">
        <v>6</v>
      </c>
      <c r="F6" s="8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 s="6" customFormat="1">
      <c r="A7" s="6" t="s">
        <v>7</v>
      </c>
      <c r="B7" s="6">
        <f t="shared" ref="B7:B70" si="0">IF(A6=A7, B6+1, 1)</f>
        <v>3</v>
      </c>
      <c r="C7" s="7" t="s">
        <v>11</v>
      </c>
      <c r="D7" s="6" t="str">
        <f>IFERROR(IFERROR(VLOOKUP($C7, [1]SBOM!$F:$G, 2, FALSE), VLOOKUP(VALUE($C7), [1]SBOM!$F:$G, 2, FALSE)), "")</f>
        <v>FlowArt: Mini Single - Pretty Petals</v>
      </c>
      <c r="E7" s="6">
        <v>12</v>
      </c>
      <c r="F7" s="8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 s="6" customFormat="1">
      <c r="A8" s="6" t="s">
        <v>7</v>
      </c>
      <c r="B8" s="6">
        <f t="shared" si="0"/>
        <v>4</v>
      </c>
      <c r="C8" s="7" t="s">
        <v>13</v>
      </c>
      <c r="D8" s="6" t="str">
        <f>IFERROR(IFERROR(VLOOKUP($C8, [1]SBOM!$F:$G, 2, FALSE), VLOOKUP(VALUE($C8), [1]SBOM!$F:$G, 2, FALSE)), "")</f>
        <v>FlowArt: Mini Single - Furry Friends</v>
      </c>
      <c r="E8" s="6">
        <v>12</v>
      </c>
      <c r="F8" s="8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 s="6" customFormat="1">
      <c r="A9" s="6" t="s">
        <v>7</v>
      </c>
      <c r="B9" s="6">
        <f t="shared" si="0"/>
        <v>5</v>
      </c>
      <c r="C9" s="7" t="s">
        <v>12</v>
      </c>
      <c r="D9" s="6" t="str">
        <f>IFERROR(IFERROR(VLOOKUP($C9, [1]SBOM!$F:$G, 2, FALSE), VLOOKUP(VALUE($C9), [1]SBOM!$F:$G, 2, FALSE)), "")</f>
        <v>FlowArt: Mini Single - Nature's Wonders</v>
      </c>
      <c r="E9" s="6">
        <v>6</v>
      </c>
      <c r="F9" s="8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 s="6" customFormat="1">
      <c r="A10" s="6" t="s">
        <v>7</v>
      </c>
      <c r="B10" s="6">
        <f t="shared" si="0"/>
        <v>6</v>
      </c>
      <c r="C10" s="7" t="s">
        <v>8</v>
      </c>
      <c r="D10" s="6" t="str">
        <f>IFERROR(IFERROR(VLOOKUP($C10, [1]SBOM!$F:$G, 2, FALSE), VLOOKUP(VALUE($C10), [1]SBOM!$F:$G, 2, FALSE)), "")</f>
        <v>FlowArt: Mini Single - Pocket Positivity</v>
      </c>
      <c r="E10" s="6">
        <v>6</v>
      </c>
      <c r="F10" s="8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 s="6" customFormat="1">
      <c r="A11" s="6" t="s">
        <v>15</v>
      </c>
      <c r="B11" s="6">
        <f t="shared" si="0"/>
        <v>1</v>
      </c>
      <c r="C11" s="7" t="s">
        <v>18</v>
      </c>
      <c r="D11" s="6" t="str">
        <f>IFERROR(IFERROR(VLOOKUP($C11, [1]SBOM!$F:$G, 2, FALSE), VLOOKUP(VALUE($C11), [1]SBOM!$F:$G, 2, FALSE)), "")</f>
        <v>FlowArt: Mini Single - Snowflake Serenity [Metallic]</v>
      </c>
      <c r="E11" s="6">
        <v>9</v>
      </c>
      <c r="F11" s="8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 s="6" customFormat="1">
      <c r="A12" s="6" t="s">
        <v>15</v>
      </c>
      <c r="B12" s="6">
        <f t="shared" si="0"/>
        <v>2</v>
      </c>
      <c r="C12" s="7" t="s">
        <v>17</v>
      </c>
      <c r="D12" s="6" t="str">
        <f>IFERROR(IFERROR(VLOOKUP($C12, [1]SBOM!$F:$G, 2, FALSE), VLOOKUP(VALUE($C12), [1]SBOM!$F:$G, 2, FALSE)), "")</f>
        <v>FlowArt: Mini Single - Frosted Village [Metallic]</v>
      </c>
      <c r="E12" s="6">
        <v>9</v>
      </c>
      <c r="F12" s="8">
        <f>IF(IF(RIGHT($A12,5)="FA160", ROUND(IFERROR(IFERROR(VLOOKUP($C12, [1]SBOM!$F:$P, 11, FALSE),VLOOKUP(VALUE($C12), [1]SBOM!$F:$P, 11, FALSE)), 0), 2)-1.5, ROUND(IFERROR(IFERROR(VLOOKUP($C12, [1]SBOM!$F:$P, 11, FALSE),VLOOKUP(VALUE($C12), [1]SBOM!$F:$P, 11, FALSE)), 0), 2))&lt;0, 0, IF(RIGHT($A12,5)="FA160", ROUND(IFERROR(IFERROR(VLOOKUP($C12, [1]SBOM!$F:$P, 11, FALSE),VLOOKUP(VALUE($C12), [1]SBOM!$F:$P, 11, FALSE)), 0), 2)-1.5, ROUND(IFERROR(IFERROR(VLOOKUP($C12, [1]SBOM!$F:$P, 11, FALSE),VLOOKUP(VALUE($C12), [1]SBOM!$F:$P, 11, FALSE)), 0), 2)))</f>
        <v>3.5</v>
      </c>
    </row>
    <row r="13" spans="1:6" s="6" customFormat="1">
      <c r="A13" s="6" t="s">
        <v>15</v>
      </c>
      <c r="B13" s="6">
        <f t="shared" si="0"/>
        <v>3</v>
      </c>
      <c r="C13" s="7" t="s">
        <v>16</v>
      </c>
      <c r="D13" s="6" t="str">
        <f>IFERROR(IFERROR(VLOOKUP($C13, [1]SBOM!$F:$G, 2, FALSE), VLOOKUP(VALUE($C13), [1]SBOM!$F:$G, 2, FALSE)), "")</f>
        <v>FlowArt: Mini Single - Deck the Halls [Metallic]</v>
      </c>
      <c r="E13" s="6">
        <v>18</v>
      </c>
      <c r="F13" s="8">
        <f>IF(IF(RIGHT($A13,5)="FA160", ROUND(IFERROR(IFERROR(VLOOKUP($C13, [1]SBOM!$F:$P, 11, FALSE),VLOOKUP(VALUE($C13), [1]SBOM!$F:$P, 11, FALSE)), 0), 2)-1.5, ROUND(IFERROR(IFERROR(VLOOKUP($C13, [1]SBOM!$F:$P, 11, FALSE),VLOOKUP(VALUE($C13), [1]SBOM!$F:$P, 11, FALSE)), 0), 2))&lt;0, 0, IF(RIGHT($A13,5)="FA160", ROUND(IFERROR(IFERROR(VLOOKUP($C13, [1]SBOM!$F:$P, 11, FALSE),VLOOKUP(VALUE($C13), [1]SBOM!$F:$P, 11, FALSE)), 0), 2)-1.5, ROUND(IFERROR(IFERROR(VLOOKUP($C13, [1]SBOM!$F:$P, 11, FALSE),VLOOKUP(VALUE($C13), [1]SBOM!$F:$P, 11, FALSE)), 0), 2)))</f>
        <v>3.5</v>
      </c>
    </row>
    <row r="14" spans="1:6" s="6" customFormat="1">
      <c r="A14" s="6" t="s">
        <v>31</v>
      </c>
      <c r="B14" s="6">
        <f t="shared" si="0"/>
        <v>1</v>
      </c>
      <c r="C14" s="7" t="s">
        <v>35</v>
      </c>
      <c r="D14" s="6" t="str">
        <f>IFERROR(IFERROR(VLOOKUP($C14, [1]SBOM!$F:$G, 2, FALSE), VLOOKUP(VALUE($C14), [1]SBOM!$F:$G, 2, FALSE)), "")</f>
        <v>UNIVERSAL COUNTER DISPLAY - EMPTY</v>
      </c>
      <c r="E14" s="6">
        <v>1</v>
      </c>
      <c r="F14" s="8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0</v>
      </c>
    </row>
    <row r="15" spans="1:6" s="6" customFormat="1">
      <c r="A15" s="6" t="s">
        <v>31</v>
      </c>
      <c r="B15" s="6">
        <f t="shared" si="0"/>
        <v>2</v>
      </c>
      <c r="C15" s="7" t="s">
        <v>32</v>
      </c>
      <c r="D15" s="6" t="str">
        <f>IFERROR(IFERROR(VLOOKUP($C15, [1]SBOM!$F:$G, 2, FALSE), VLOOKUP(VALUE($C15), [1]SBOM!$F:$G, 2, FALSE)), "")</f>
        <v>FlowArt: Dot-By-Letter, Into the Galaxy [Metallic ink]</v>
      </c>
      <c r="E15" s="6">
        <v>8</v>
      </c>
      <c r="F15" s="8">
        <f>IF(IF(RIGHT($A15,5)="FA160", ROUND(IFERROR(IFERROR(VLOOKUP($C15, [1]SBOM!$F:$P, 11, FALSE),VLOOKUP(VALUE($C15), [1]SBOM!$F:$P, 11, FALSE)), 0), 2)-1.5, ROUND(IFERROR(IFERROR(VLOOKUP($C15, [1]SBOM!$F:$P, 11, FALSE),VLOOKUP(VALUE($C15), [1]SBOM!$F:$P, 11, FALSE)), 0), 2))&lt;0, 0, IF(RIGHT($A15,5)="FA160", ROUND(IFERROR(IFERROR(VLOOKUP($C15, [1]SBOM!$F:$P, 11, FALSE),VLOOKUP(VALUE($C15), [1]SBOM!$F:$P, 11, FALSE)), 0), 2)-1.5, ROUND(IFERROR(IFERROR(VLOOKUP($C15, [1]SBOM!$F:$P, 11, FALSE),VLOOKUP(VALUE($C15), [1]SBOM!$F:$P, 11, FALSE)), 0), 2)))</f>
        <v>6.5</v>
      </c>
    </row>
    <row r="16" spans="1:6" s="6" customFormat="1">
      <c r="A16" s="6" t="s">
        <v>31</v>
      </c>
      <c r="B16" s="6">
        <f t="shared" si="0"/>
        <v>3</v>
      </c>
      <c r="C16" s="7" t="s">
        <v>19</v>
      </c>
      <c r="D16" s="6" t="str">
        <f>IFERROR(IFERROR(VLOOKUP($C16, [1]SBOM!$F:$G, 2, FALSE), VLOOKUP(VALUE($C16), [1]SBOM!$F:$G, 2, FALSE)), "")</f>
        <v>FlowArt: Dot-By-Letter, Cozy Cottage</v>
      </c>
      <c r="E16" s="6">
        <v>8</v>
      </c>
      <c r="F16" s="8">
        <f>IF(IF(RIGHT($A16,5)="FA160", ROUND(IFERROR(IFERROR(VLOOKUP($C16, [1]SBOM!$F:$P, 11, FALSE),VLOOKUP(VALUE($C16), [1]SBOM!$F:$P, 11, FALSE)), 0), 2)-1.5, ROUND(IFERROR(IFERROR(VLOOKUP($C16, [1]SBOM!$F:$P, 11, FALSE),VLOOKUP(VALUE($C16), [1]SBOM!$F:$P, 11, FALSE)), 0), 2))&lt;0, 0, IF(RIGHT($A16,5)="FA160", ROUND(IFERROR(IFERROR(VLOOKUP($C16, [1]SBOM!$F:$P, 11, FALSE),VLOOKUP(VALUE($C16), [1]SBOM!$F:$P, 11, FALSE)), 0), 2)-1.5, ROUND(IFERROR(IFERROR(VLOOKUP($C16, [1]SBOM!$F:$P, 11, FALSE),VLOOKUP(VALUE($C16), [1]SBOM!$F:$P, 11, FALSE)), 0), 2)))</f>
        <v>6.5</v>
      </c>
    </row>
    <row r="17" spans="1:6" s="6" customFormat="1">
      <c r="A17" s="6" t="s">
        <v>31</v>
      </c>
      <c r="B17" s="6">
        <f t="shared" si="0"/>
        <v>4</v>
      </c>
      <c r="C17" s="7" t="s">
        <v>33</v>
      </c>
      <c r="D17" s="6" t="str">
        <f>IFERROR(IFERROR(VLOOKUP($C17, [1]SBOM!$F:$G, 2, FALSE), VLOOKUP(VALUE($C17), [1]SBOM!$F:$G, 2, FALSE)), "")</f>
        <v>FlowArt: Dot-By-Letter, Into the Deep [Metallic ink]</v>
      </c>
      <c r="E17" s="6">
        <v>4</v>
      </c>
      <c r="F17" s="8">
        <f>IF(IF(RIGHT($A17,5)="FA160", ROUND(IFERROR(IFERROR(VLOOKUP($C17, [1]SBOM!$F:$P, 11, FALSE),VLOOKUP(VALUE($C17), [1]SBOM!$F:$P, 11, FALSE)), 0), 2)-1.5, ROUND(IFERROR(IFERROR(VLOOKUP($C17, [1]SBOM!$F:$P, 11, FALSE),VLOOKUP(VALUE($C17), [1]SBOM!$F:$P, 11, FALSE)), 0), 2))&lt;0, 0, IF(RIGHT($A17,5)="FA160", ROUND(IFERROR(IFERROR(VLOOKUP($C17, [1]SBOM!$F:$P, 11, FALSE),VLOOKUP(VALUE($C17), [1]SBOM!$F:$P, 11, FALSE)), 0), 2)-1.5, ROUND(IFERROR(IFERROR(VLOOKUP($C17, [1]SBOM!$F:$P, 11, FALSE),VLOOKUP(VALUE($C17), [1]SBOM!$F:$P, 11, FALSE)), 0), 2)))</f>
        <v>6.5</v>
      </c>
    </row>
    <row r="18" spans="1:6" s="6" customFormat="1">
      <c r="A18" s="6" t="s">
        <v>31</v>
      </c>
      <c r="B18" s="6">
        <f t="shared" si="0"/>
        <v>5</v>
      </c>
      <c r="C18" s="7" t="s">
        <v>52</v>
      </c>
      <c r="D18" s="6" t="str">
        <f>IFERROR(IFERROR(VLOOKUP($C18, [1]SBOM!$F:$G, 2, FALSE), VLOOKUP(VALUE($C18), [1]SBOM!$F:$G, 2, FALSE)), "")</f>
        <v>FlowArt: Dot-By-Letter, Wags &amp; Whiskers</v>
      </c>
      <c r="E18" s="6">
        <v>4</v>
      </c>
      <c r="F18" s="8">
        <f>IF(IF(RIGHT($A18,5)="FA160", ROUND(IFERROR(IFERROR(VLOOKUP($C18, [1]SBOM!$F:$P, 11, FALSE),VLOOKUP(VALUE($C18), [1]SBOM!$F:$P, 11, FALSE)), 0), 2)-1.5, ROUND(IFERROR(IFERROR(VLOOKUP($C18, [1]SBOM!$F:$P, 11, FALSE),VLOOKUP(VALUE($C18), [1]SBOM!$F:$P, 11, FALSE)), 0), 2))&lt;0, 0, IF(RIGHT($A18,5)="FA160", ROUND(IFERROR(IFERROR(VLOOKUP($C18, [1]SBOM!$F:$P, 11, FALSE),VLOOKUP(VALUE($C18), [1]SBOM!$F:$P, 11, FALSE)), 0), 2)-1.5, ROUND(IFERROR(IFERROR(VLOOKUP($C18, [1]SBOM!$F:$P, 11, FALSE),VLOOKUP(VALUE($C18), [1]SBOM!$F:$P, 11, FALSE)), 0), 2)))</f>
        <v>6.5</v>
      </c>
    </row>
    <row r="19" spans="1:6" s="6" customFormat="1">
      <c r="A19" s="6" t="s">
        <v>31</v>
      </c>
      <c r="B19" s="6">
        <f t="shared" si="0"/>
        <v>6</v>
      </c>
      <c r="C19" s="7" t="s">
        <v>23</v>
      </c>
      <c r="D19" s="6" t="str">
        <f>IFERROR(IFERROR(VLOOKUP($C19, [1]SBOM!$F:$G, 2, FALSE), VLOOKUP(VALUE($C19), [1]SBOM!$F:$G, 2, FALSE)), "")</f>
        <v>FlowArt: Dot-By-Letter, Day at the Beach</v>
      </c>
      <c r="E19" s="6">
        <v>4</v>
      </c>
      <c r="F19" s="8">
        <f>IF(IF(RIGHT($A19,5)="FA160", ROUND(IFERROR(IFERROR(VLOOKUP($C19, [1]SBOM!$F:$P, 11, FALSE),VLOOKUP(VALUE($C19), [1]SBOM!$F:$P, 11, FALSE)), 0), 2)-1.5, ROUND(IFERROR(IFERROR(VLOOKUP($C19, [1]SBOM!$F:$P, 11, FALSE),VLOOKUP(VALUE($C19), [1]SBOM!$F:$P, 11, FALSE)), 0), 2))&lt;0, 0, IF(RIGHT($A19,5)="FA160", ROUND(IFERROR(IFERROR(VLOOKUP($C19, [1]SBOM!$F:$P, 11, FALSE),VLOOKUP(VALUE($C19), [1]SBOM!$F:$P, 11, FALSE)), 0), 2)-1.5, ROUND(IFERROR(IFERROR(VLOOKUP($C19, [1]SBOM!$F:$P, 11, FALSE),VLOOKUP(VALUE($C19), [1]SBOM!$F:$P, 11, FALSE)), 0), 2)))</f>
        <v>6.5</v>
      </c>
    </row>
    <row r="20" spans="1:6" s="6" customFormat="1">
      <c r="A20" s="6" t="s">
        <v>31</v>
      </c>
      <c r="B20" s="6">
        <f t="shared" si="0"/>
        <v>7</v>
      </c>
      <c r="C20" s="7" t="s">
        <v>75</v>
      </c>
      <c r="D20" s="6" t="str">
        <f>IFERROR(IFERROR(VLOOKUP($C20, [1]SBOM!$F:$G, 2, FALSE), VLOOKUP(VALUE($C20), [1]SBOM!$F:$G, 2, FALSE)), "")</f>
        <v>FlowArt: Dot-By-Letter, Majestic Earth [Metallic ink]</v>
      </c>
      <c r="E20" s="6">
        <v>4</v>
      </c>
      <c r="F20" s="8">
        <f>IF(IF(RIGHT($A20,5)="FA160", ROUND(IFERROR(IFERROR(VLOOKUP($C20, [1]SBOM!$F:$P, 11, FALSE),VLOOKUP(VALUE($C20), [1]SBOM!$F:$P, 11, FALSE)), 0), 2)-1.5, ROUND(IFERROR(IFERROR(VLOOKUP($C20, [1]SBOM!$F:$P, 11, FALSE),VLOOKUP(VALUE($C20), [1]SBOM!$F:$P, 11, FALSE)), 0), 2))&lt;0, 0, IF(RIGHT($A20,5)="FA160", ROUND(IFERROR(IFERROR(VLOOKUP($C20, [1]SBOM!$F:$P, 11, FALSE),VLOOKUP(VALUE($C20), [1]SBOM!$F:$P, 11, FALSE)), 0), 2)-1.5, ROUND(IFERROR(IFERROR(VLOOKUP($C20, [1]SBOM!$F:$P, 11, FALSE),VLOOKUP(VALUE($C20), [1]SBOM!$F:$P, 11, FALSE)), 0), 2)))</f>
        <v>6.5</v>
      </c>
    </row>
    <row r="21" spans="1:6" s="6" customFormat="1">
      <c r="A21" s="6" t="s">
        <v>31</v>
      </c>
      <c r="B21" s="6">
        <f t="shared" si="0"/>
        <v>8</v>
      </c>
      <c r="C21" s="7" t="s">
        <v>76</v>
      </c>
      <c r="D21" s="6" t="str">
        <f>IFERROR(IFERROR(VLOOKUP($C21, [1]SBOM!$F:$G, 2, FALSE), VLOOKUP(VALUE($C21), [1]SBOM!$F:$G, 2, FALSE)), "")</f>
        <v>FlowArt: Dot-By-Letter, Everyday Inspiration</v>
      </c>
      <c r="E21" s="6">
        <v>4</v>
      </c>
      <c r="F21" s="8">
        <f>IF(IF(RIGHT($A21,5)="FA160", ROUND(IFERROR(IFERROR(VLOOKUP($C21, [1]SBOM!$F:$P, 11, FALSE),VLOOKUP(VALUE($C21), [1]SBOM!$F:$P, 11, FALSE)), 0), 2)-1.5, ROUND(IFERROR(IFERROR(VLOOKUP($C21, [1]SBOM!$F:$P, 11, FALSE),VLOOKUP(VALUE($C21), [1]SBOM!$F:$P, 11, FALSE)), 0), 2))&lt;0, 0, IF(RIGHT($A21,5)="FA160", ROUND(IFERROR(IFERROR(VLOOKUP($C21, [1]SBOM!$F:$P, 11, FALSE),VLOOKUP(VALUE($C21), [1]SBOM!$F:$P, 11, FALSE)), 0), 2)-1.5, ROUND(IFERROR(IFERROR(VLOOKUP($C21, [1]SBOM!$F:$P, 11, FALSE),VLOOKUP(VALUE($C21), [1]SBOM!$F:$P, 11, FALSE)), 0), 2)))</f>
        <v>6.5</v>
      </c>
    </row>
    <row r="22" spans="1:6" s="6" customFormat="1">
      <c r="A22" s="6" t="s">
        <v>31</v>
      </c>
      <c r="B22" s="6">
        <f t="shared" si="0"/>
        <v>9</v>
      </c>
      <c r="C22" s="7" t="s">
        <v>26</v>
      </c>
      <c r="D22" s="6" t="str">
        <f>IFERROR(IFERROR(VLOOKUP($C22, [1]SBOM!$F:$G, 2, FALSE), VLOOKUP(VALUE($C22), [1]SBOM!$F:$G, 2, FALSE)), "")</f>
        <v>FlowArt: Trace-By-Line, Fall Harvest</v>
      </c>
      <c r="E22" s="6">
        <v>8</v>
      </c>
      <c r="F22" s="8">
        <f>IF(IF(RIGHT($A22,5)="FA160", ROUND(IFERROR(IFERROR(VLOOKUP($C22, [1]SBOM!$F:$P, 11, FALSE),VLOOKUP(VALUE($C22), [1]SBOM!$F:$P, 11, FALSE)), 0), 2)-1.5, ROUND(IFERROR(IFERROR(VLOOKUP($C22, [1]SBOM!$F:$P, 11, FALSE),VLOOKUP(VALUE($C22), [1]SBOM!$F:$P, 11, FALSE)), 0), 2))&lt;0, 0, IF(RIGHT($A22,5)="FA160", ROUND(IFERROR(IFERROR(VLOOKUP($C22, [1]SBOM!$F:$P, 11, FALSE),VLOOKUP(VALUE($C22), [1]SBOM!$F:$P, 11, FALSE)), 0), 2)-1.5, ROUND(IFERROR(IFERROR(VLOOKUP($C22, [1]SBOM!$F:$P, 11, FALSE),VLOOKUP(VALUE($C22), [1]SBOM!$F:$P, 11, FALSE)), 0), 2)))</f>
        <v>6.5</v>
      </c>
    </row>
    <row r="23" spans="1:6" s="6" customFormat="1">
      <c r="A23" s="6" t="s">
        <v>31</v>
      </c>
      <c r="B23" s="6">
        <f t="shared" si="0"/>
        <v>10</v>
      </c>
      <c r="C23" s="7" t="s">
        <v>27</v>
      </c>
      <c r="D23" s="6" t="str">
        <f>IFERROR(IFERROR(VLOOKUP($C23, [1]SBOM!$F:$G, 2, FALSE), VLOOKUP(VALUE($C23), [1]SBOM!$F:$G, 2, FALSE)), "")</f>
        <v>FlowArt: Dot-By-Letter, Sweater Weather [2026]</v>
      </c>
      <c r="E23" s="6">
        <v>4</v>
      </c>
      <c r="F23" s="8">
        <f>IF(IF(RIGHT($A23,5)="FA160", ROUND(IFERROR(IFERROR(VLOOKUP($C23, [1]SBOM!$F:$P, 11, FALSE),VLOOKUP(VALUE($C23), [1]SBOM!$F:$P, 11, FALSE)), 0), 2)-1.5, ROUND(IFERROR(IFERROR(VLOOKUP($C23, [1]SBOM!$F:$P, 11, FALSE),VLOOKUP(VALUE($C23), [1]SBOM!$F:$P, 11, FALSE)), 0), 2))&lt;0, 0, IF(RIGHT($A23,5)="FA160", ROUND(IFERROR(IFERROR(VLOOKUP($C23, [1]SBOM!$F:$P, 11, FALSE),VLOOKUP(VALUE($C23), [1]SBOM!$F:$P, 11, FALSE)), 0), 2)-1.5, ROUND(IFERROR(IFERROR(VLOOKUP($C23, [1]SBOM!$F:$P, 11, FALSE),VLOOKUP(VALUE($C23), [1]SBOM!$F:$P, 11, FALSE)), 0), 2)))</f>
        <v>6.5</v>
      </c>
    </row>
    <row r="24" spans="1:6" s="6" customFormat="1">
      <c r="A24" s="6" t="s">
        <v>38</v>
      </c>
      <c r="B24" s="6">
        <f t="shared" si="0"/>
        <v>1</v>
      </c>
      <c r="C24" s="7" t="s">
        <v>39</v>
      </c>
      <c r="D24" s="6" t="str">
        <f>IFERROR(IFERROR(VLOOKUP($C24, [1]SBOM!$F:$G, 2, FALSE), VLOOKUP(VALUE($C24), [1]SBOM!$F:$G, 2, FALSE)), "")</f>
        <v>Pen Diffuser with Essential Oil Blends - In Bloom</v>
      </c>
      <c r="E24" s="6">
        <v>6</v>
      </c>
      <c r="F24" s="8">
        <f>IF(IF(RIGHT($A24,5)="FA160", ROUND(IFERROR(IFERROR(VLOOKUP($C24, [1]SBOM!$F:$P, 11, FALSE),VLOOKUP(VALUE($C24), [1]SBOM!$F:$P, 11, FALSE)), 0), 2)-1.5, ROUND(IFERROR(IFERROR(VLOOKUP($C24, [1]SBOM!$F:$P, 11, FALSE),VLOOKUP(VALUE($C24), [1]SBOM!$F:$P, 11, FALSE)), 0), 2))&lt;0, 0, IF(RIGHT($A24,5)="FA160", ROUND(IFERROR(IFERROR(VLOOKUP($C24, [1]SBOM!$F:$P, 11, FALSE),VLOOKUP(VALUE($C24), [1]SBOM!$F:$P, 11, FALSE)), 0), 2)-1.5, ROUND(IFERROR(IFERROR(VLOOKUP($C24, [1]SBOM!$F:$P, 11, FALSE),VLOOKUP(VALUE($C24), [1]SBOM!$F:$P, 11, FALSE)), 0), 2)))</f>
        <v>6.5</v>
      </c>
    </row>
    <row r="25" spans="1:6" s="6" customFormat="1">
      <c r="A25" s="6" t="s">
        <v>38</v>
      </c>
      <c r="B25" s="6">
        <f t="shared" si="0"/>
        <v>2</v>
      </c>
      <c r="C25" s="7" t="s">
        <v>40</v>
      </c>
      <c r="D25" s="6" t="str">
        <f>IFERROR(IFERROR(VLOOKUP($C25, [1]SBOM!$F:$G, 2, FALSE), VLOOKUP(VALUE($C25), [1]SBOM!$F:$G, 2, FALSE)), "")</f>
        <v>Pen Diffuser with  Essential Oil Blends - Citrus Grove</v>
      </c>
      <c r="E25" s="6">
        <v>6</v>
      </c>
      <c r="F25" s="8">
        <f>IF(IF(RIGHT($A25,5)="FA160", ROUND(IFERROR(IFERROR(VLOOKUP($C25, [1]SBOM!$F:$P, 11, FALSE),VLOOKUP(VALUE($C25), [1]SBOM!$F:$P, 11, FALSE)), 0), 2)-1.5, ROUND(IFERROR(IFERROR(VLOOKUP($C25, [1]SBOM!$F:$P, 11, FALSE),VLOOKUP(VALUE($C25), [1]SBOM!$F:$P, 11, FALSE)), 0), 2))&lt;0, 0, IF(RIGHT($A25,5)="FA160", ROUND(IFERROR(IFERROR(VLOOKUP($C25, [1]SBOM!$F:$P, 11, FALSE),VLOOKUP(VALUE($C25), [1]SBOM!$F:$P, 11, FALSE)), 0), 2)-1.5, ROUND(IFERROR(IFERROR(VLOOKUP($C25, [1]SBOM!$F:$P, 11, FALSE),VLOOKUP(VALUE($C25), [1]SBOM!$F:$P, 11, FALSE)), 0), 2)))</f>
        <v>6.5</v>
      </c>
    </row>
    <row r="26" spans="1:6" s="6" customFormat="1">
      <c r="A26" s="6" t="s">
        <v>38</v>
      </c>
      <c r="B26" s="6">
        <f t="shared" si="0"/>
        <v>3</v>
      </c>
      <c r="C26" s="7" t="s">
        <v>41</v>
      </c>
      <c r="D26" s="6" t="str">
        <f>IFERROR(IFERROR(VLOOKUP($C26, [1]SBOM!$F:$G, 2, FALSE), VLOOKUP(VALUE($C26), [1]SBOM!$F:$G, 2, FALSE)), "")</f>
        <v xml:space="preserve">Scented Lava Pen Set - 2-pack (Blue / Green) </v>
      </c>
      <c r="E26" s="6">
        <v>4</v>
      </c>
      <c r="F26" s="8">
        <f>IF(IF(RIGHT($A26,5)="FA160", ROUND(IFERROR(IFERROR(VLOOKUP($C26, [1]SBOM!$F:$P, 11, FALSE),VLOOKUP(VALUE($C26), [1]SBOM!$F:$P, 11, FALSE)), 0), 2)-1.5, ROUND(IFERROR(IFERROR(VLOOKUP($C26, [1]SBOM!$F:$P, 11, FALSE),VLOOKUP(VALUE($C26), [1]SBOM!$F:$P, 11, FALSE)), 0), 2))&lt;0, 0, IF(RIGHT($A26,5)="FA160", ROUND(IFERROR(IFERROR(VLOOKUP($C26, [1]SBOM!$F:$P, 11, FALSE),VLOOKUP(VALUE($C26), [1]SBOM!$F:$P, 11, FALSE)), 0), 2)-1.5, ROUND(IFERROR(IFERROR(VLOOKUP($C26, [1]SBOM!$F:$P, 11, FALSE),VLOOKUP(VALUE($C26), [1]SBOM!$F:$P, 11, FALSE)), 0), 2)))</f>
        <v>6.5</v>
      </c>
    </row>
    <row r="27" spans="1:6" s="6" customFormat="1">
      <c r="A27" s="6" t="s">
        <v>38</v>
      </c>
      <c r="B27" s="6">
        <f t="shared" si="0"/>
        <v>4</v>
      </c>
      <c r="C27" s="7" t="s">
        <v>42</v>
      </c>
      <c r="D27" s="6" t="str">
        <f>IFERROR(IFERROR(VLOOKUP($C27, [1]SBOM!$F:$G, 2, FALSE), VLOOKUP(VALUE($C27), [1]SBOM!$F:$G, 2, FALSE)), "")</f>
        <v>Scented Lava Pen Set- 5-pack (Brights)</v>
      </c>
      <c r="E27" s="6">
        <v>4</v>
      </c>
      <c r="F27" s="8">
        <f>IF(IF(RIGHT($A27,5)="FA160", ROUND(IFERROR(IFERROR(VLOOKUP($C27, [1]SBOM!$F:$P, 11, FALSE),VLOOKUP(VALUE($C27), [1]SBOM!$F:$P, 11, FALSE)), 0), 2)-1.5, ROUND(IFERROR(IFERROR(VLOOKUP($C27, [1]SBOM!$F:$P, 11, FALSE),VLOOKUP(VALUE($C27), [1]SBOM!$F:$P, 11, FALSE)), 0), 2))&lt;0, 0, IF(RIGHT($A27,5)="FA160", ROUND(IFERROR(IFERROR(VLOOKUP($C27, [1]SBOM!$F:$P, 11, FALSE),VLOOKUP(VALUE($C27), [1]SBOM!$F:$P, 11, FALSE)), 0), 2)-1.5, ROUND(IFERROR(IFERROR(VLOOKUP($C27, [1]SBOM!$F:$P, 11, FALSE),VLOOKUP(VALUE($C27), [1]SBOM!$F:$P, 11, FALSE)), 0), 2)))</f>
        <v>10</v>
      </c>
    </row>
    <row r="28" spans="1:6" s="6" customFormat="1">
      <c r="A28" s="6" t="s">
        <v>38</v>
      </c>
      <c r="B28" s="6">
        <f t="shared" si="0"/>
        <v>5</v>
      </c>
      <c r="C28" s="7" t="s">
        <v>43</v>
      </c>
      <c r="D28" s="6" t="str">
        <f>IFERROR(IFERROR(VLOOKUP($C28, [1]SBOM!$F:$G, 2, FALSE), VLOOKUP(VALUE($C28), [1]SBOM!$F:$G, 2, FALSE)), "")</f>
        <v>Rub &amp; Sniff™ Scented Colored Pencils - 10-pack (Classic Palette)</v>
      </c>
      <c r="E28" s="6">
        <v>4</v>
      </c>
      <c r="F28" s="8">
        <f>IF(IF(RIGHT($A28,5)="FA160", ROUND(IFERROR(IFERROR(VLOOKUP($C28, [1]SBOM!$F:$P, 11, FALSE),VLOOKUP(VALUE($C28), [1]SBOM!$F:$P, 11, FALSE)), 0), 2)-1.5, ROUND(IFERROR(IFERROR(VLOOKUP($C28, [1]SBOM!$F:$P, 11, FALSE),VLOOKUP(VALUE($C28), [1]SBOM!$F:$P, 11, FALSE)), 0), 2))&lt;0, 0, IF(RIGHT($A28,5)="FA160", ROUND(IFERROR(IFERROR(VLOOKUP($C28, [1]SBOM!$F:$P, 11, FALSE),VLOOKUP(VALUE($C28), [1]SBOM!$F:$P, 11, FALSE)), 0), 2)-1.5, ROUND(IFERROR(IFERROR(VLOOKUP($C28, [1]SBOM!$F:$P, 11, FALSE),VLOOKUP(VALUE($C28), [1]SBOM!$F:$P, 11, FALSE)), 0), 2)))</f>
        <v>6.5</v>
      </c>
    </row>
    <row r="29" spans="1:6" s="6" customFormat="1">
      <c r="A29" s="6" t="s">
        <v>38</v>
      </c>
      <c r="B29" s="6">
        <f t="shared" si="0"/>
        <v>6</v>
      </c>
      <c r="C29" s="7" t="s">
        <v>44</v>
      </c>
      <c r="D29" s="6" t="str">
        <f>IFERROR(IFERROR(VLOOKUP($C29, [1]SBOM!$F:$G, 2, FALSE), VLOOKUP(VALUE($C29), [1]SBOM!$F:$G, 2, FALSE)), "")</f>
        <v>Pen Diffuser with Essential Oil Blends -  Spiced Chai Latte</v>
      </c>
      <c r="E29" s="6">
        <v>4</v>
      </c>
      <c r="F29" s="8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6.5</v>
      </c>
    </row>
    <row r="30" spans="1:6" s="6" customFormat="1">
      <c r="A30" s="6" t="s">
        <v>38</v>
      </c>
      <c r="B30" s="6">
        <f t="shared" si="0"/>
        <v>7</v>
      </c>
      <c r="C30" s="7" t="s">
        <v>45</v>
      </c>
      <c r="D30" s="6" t="str">
        <f>IFERROR(IFERROR(VLOOKUP($C30, [1]SBOM!$F:$G, 2, FALSE), VLOOKUP(VALUE($C30), [1]SBOM!$F:$G, 2, FALSE)), "")</f>
        <v xml:space="preserve">Scented Lava Pen Set- 5-pack </v>
      </c>
      <c r="E30" s="6">
        <v>4</v>
      </c>
      <c r="F30" s="8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10</v>
      </c>
    </row>
    <row r="31" spans="1:6" s="6" customFormat="1">
      <c r="A31" s="6" t="s">
        <v>38</v>
      </c>
      <c r="B31" s="6">
        <f t="shared" si="0"/>
        <v>8</v>
      </c>
      <c r="C31" s="7" t="s">
        <v>47</v>
      </c>
      <c r="D31" s="6" t="str">
        <f>IFERROR(IFERROR(VLOOKUP($C31, [1]SBOM!$F:$G, 2, FALSE), VLOOKUP(VALUE($C31), [1]SBOM!$F:$G, 2, FALSE)), "")</f>
        <v xml:space="preserve">Scented Lava Pen Set - 2-pack (Pink / Purple) </v>
      </c>
      <c r="E31" s="6">
        <v>4</v>
      </c>
      <c r="F31" s="8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6.5</v>
      </c>
    </row>
    <row r="32" spans="1:6" s="6" customFormat="1">
      <c r="A32" s="6" t="s">
        <v>38</v>
      </c>
      <c r="B32" s="6">
        <f t="shared" si="0"/>
        <v>9</v>
      </c>
      <c r="C32" s="7" t="s">
        <v>48</v>
      </c>
      <c r="D32" s="6" t="str">
        <f>IFERROR(IFERROR(VLOOKUP($C32, [1]SBOM!$F:$G, 2, FALSE), VLOOKUP(VALUE($C32), [1]SBOM!$F:$G, 2, FALSE)), "")</f>
        <v>Scented Marker 10 Colors</v>
      </c>
      <c r="E32" s="6">
        <v>4</v>
      </c>
      <c r="F32" s="8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6.5</v>
      </c>
    </row>
    <row r="33" spans="1:6" s="6" customFormat="1">
      <c r="A33" s="6" t="s">
        <v>38</v>
      </c>
      <c r="B33" s="6">
        <f t="shared" si="0"/>
        <v>10</v>
      </c>
      <c r="C33" s="7" t="s">
        <v>35</v>
      </c>
      <c r="D33" s="6" t="str">
        <f>IFERROR(IFERROR(VLOOKUP($C33, [1]SBOM!$F:$G, 2, FALSE), VLOOKUP(VALUE($C33), [1]SBOM!$F:$G, 2, FALSE)), "")</f>
        <v>UNIVERSAL COUNTER DISPLAY - EMPTY</v>
      </c>
      <c r="E33" s="6">
        <v>1</v>
      </c>
      <c r="F33" s="8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0</v>
      </c>
    </row>
    <row r="34" spans="1:6" s="6" customFormat="1">
      <c r="A34" s="6" t="s">
        <v>38</v>
      </c>
      <c r="B34" s="6">
        <f t="shared" si="0"/>
        <v>11</v>
      </c>
      <c r="C34" s="7" t="s">
        <v>67</v>
      </c>
      <c r="D34" s="6" t="str">
        <f>IFERROR(IFERROR(VLOOKUP($C34, [1]SBOM!$F:$G, 2, FALSE), VLOOKUP(VALUE($C34), [1]SBOM!$F:$G, 2, FALSE)), "")</f>
        <v>Scented Sparkle Pen, 5Pck</v>
      </c>
      <c r="E34" s="6">
        <v>8</v>
      </c>
      <c r="F34" s="8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10</v>
      </c>
    </row>
    <row r="35" spans="1:6" s="6" customFormat="1">
      <c r="A35" s="6" t="s">
        <v>38</v>
      </c>
      <c r="B35" s="6">
        <f t="shared" si="0"/>
        <v>12</v>
      </c>
      <c r="C35" s="7" t="s">
        <v>68</v>
      </c>
      <c r="D35" s="6" t="str">
        <f>IFERROR(IFERROR(VLOOKUP($C35, [1]SBOM!$F:$G, 2, FALSE), VLOOKUP(VALUE($C35), [1]SBOM!$F:$G, 2, FALSE)), "")</f>
        <v>Scented Swirl Pen, 5Pck</v>
      </c>
      <c r="E35" s="6">
        <v>8</v>
      </c>
      <c r="F35" s="8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10</v>
      </c>
    </row>
    <row r="36" spans="1:6" s="6" customFormat="1">
      <c r="A36" s="6" t="s">
        <v>38</v>
      </c>
      <c r="B36" s="6">
        <f t="shared" si="0"/>
        <v>13</v>
      </c>
      <c r="C36" s="7" t="s">
        <v>69</v>
      </c>
      <c r="D36" s="6" t="str">
        <f>IFERROR(IFERROR(VLOOKUP($C36, [1]SBOM!$F:$G, 2, FALSE), VLOOKUP(VALUE($C36), [1]SBOM!$F:$G, 2, FALSE)), "")</f>
        <v>Scented Stacking Highlighters - 2-pack</v>
      </c>
      <c r="E36" s="6">
        <v>4</v>
      </c>
      <c r="F36" s="8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6.5</v>
      </c>
    </row>
    <row r="37" spans="1:6" s="6" customFormat="1">
      <c r="A37" s="6" t="s">
        <v>36</v>
      </c>
      <c r="B37" s="6">
        <f t="shared" si="0"/>
        <v>1</v>
      </c>
      <c r="C37" s="7" t="s">
        <v>77</v>
      </c>
      <c r="D37" s="6" t="str">
        <f>IFERROR(IFERROR(VLOOKUP($C37, [1]SBOM!$F:$G, 2, FALSE), VLOOKUP(VALUE($C37), [1]SBOM!$F:$G, 2, FALSE)), "")</f>
        <v>FlowArt: Dot-By-Letter, Botanicals</v>
      </c>
      <c r="E37" s="6">
        <v>4</v>
      </c>
      <c r="F37" s="8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6.5</v>
      </c>
    </row>
    <row r="38" spans="1:6" s="6" customFormat="1">
      <c r="A38" s="6" t="s">
        <v>36</v>
      </c>
      <c r="B38" s="6">
        <f t="shared" si="0"/>
        <v>2</v>
      </c>
      <c r="C38" s="7" t="s">
        <v>78</v>
      </c>
      <c r="D38" s="6" t="str">
        <f>IFERROR(IFERROR(VLOOKUP($C38, [1]SBOM!$F:$G, 2, FALSE), VLOOKUP(VALUE($C38), [1]SBOM!$F:$G, 2, FALSE)), "")</f>
        <v>FlowArt: Dot-By-Letter, Landscapes</v>
      </c>
      <c r="E38" s="6">
        <v>4</v>
      </c>
      <c r="F38" s="8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 s="6" customFormat="1">
      <c r="A39" s="6" t="s">
        <v>36</v>
      </c>
      <c r="B39" s="6">
        <f t="shared" si="0"/>
        <v>3</v>
      </c>
      <c r="C39" s="7" t="s">
        <v>37</v>
      </c>
      <c r="D39" s="6" t="str">
        <f>IFERROR(IFERROR(VLOOKUP($C39, [1]SBOM!$F:$G, 2, FALSE), VLOOKUP(VALUE($C39), [1]SBOM!$F:$G, 2, FALSE)), "")</f>
        <v>FlowArt - Spinner Tower - Empty</v>
      </c>
      <c r="E39" s="6">
        <v>1</v>
      </c>
      <c r="F39" s="8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0</v>
      </c>
    </row>
    <row r="40" spans="1:6" s="6" customFormat="1">
      <c r="A40" s="6" t="s">
        <v>36</v>
      </c>
      <c r="B40" s="6">
        <f t="shared" si="0"/>
        <v>4</v>
      </c>
      <c r="C40" s="7" t="s">
        <v>32</v>
      </c>
      <c r="D40" s="6" t="str">
        <f>IFERROR(IFERROR(VLOOKUP($C40, [1]SBOM!$F:$G, 2, FALSE), VLOOKUP(VALUE($C40), [1]SBOM!$F:$G, 2, FALSE)), "")</f>
        <v>FlowArt: Dot-By-Letter, Into the Galaxy [Metallic ink]</v>
      </c>
      <c r="E40" s="6">
        <v>8</v>
      </c>
      <c r="F40" s="8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 s="6" customFormat="1">
      <c r="A41" s="6" t="s">
        <v>36</v>
      </c>
      <c r="B41" s="6">
        <f t="shared" si="0"/>
        <v>5</v>
      </c>
      <c r="C41" s="7" t="s">
        <v>19</v>
      </c>
      <c r="D41" s="6" t="str">
        <f>IFERROR(IFERROR(VLOOKUP($C41, [1]SBOM!$F:$G, 2, FALSE), VLOOKUP(VALUE($C41), [1]SBOM!$F:$G, 2, FALSE)), "")</f>
        <v>FlowArt: Dot-By-Letter, Cozy Cottage</v>
      </c>
      <c r="E41" s="6">
        <v>8</v>
      </c>
      <c r="F41" s="8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 s="6" customFormat="1">
      <c r="A42" s="6" t="s">
        <v>36</v>
      </c>
      <c r="B42" s="6">
        <f t="shared" si="0"/>
        <v>6</v>
      </c>
      <c r="C42" s="7" t="s">
        <v>33</v>
      </c>
      <c r="D42" s="6" t="str">
        <f>IFERROR(IFERROR(VLOOKUP($C42, [1]SBOM!$F:$G, 2, FALSE), VLOOKUP(VALUE($C42), [1]SBOM!$F:$G, 2, FALSE)), "")</f>
        <v>FlowArt: Dot-By-Letter, Into the Deep [Metallic ink]</v>
      </c>
      <c r="E42" s="6">
        <v>8</v>
      </c>
      <c r="F42" s="8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 s="6" customFormat="1">
      <c r="A43" s="6" t="s">
        <v>36</v>
      </c>
      <c r="B43" s="6">
        <f t="shared" si="0"/>
        <v>7</v>
      </c>
      <c r="C43" s="7" t="s">
        <v>34</v>
      </c>
      <c r="D43" s="6" t="str">
        <f>IFERROR(IFERROR(VLOOKUP($C43, [1]SBOM!$F:$G, 2, FALSE), VLOOKUP(VALUE($C43), [1]SBOM!$F:$G, 2, FALSE)), "")</f>
        <v>FlowArt: Trace-By-Groove, Jungle Oasis</v>
      </c>
      <c r="E43" s="6">
        <v>4</v>
      </c>
      <c r="F43" s="8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 s="6" customFormat="1">
      <c r="A44" s="6" t="s">
        <v>36</v>
      </c>
      <c r="B44" s="6">
        <f t="shared" si="0"/>
        <v>8</v>
      </c>
      <c r="C44" s="7" t="s">
        <v>52</v>
      </c>
      <c r="D44" s="6" t="str">
        <f>IFERROR(IFERROR(VLOOKUP($C44, [1]SBOM!$F:$G, 2, FALSE), VLOOKUP(VALUE($C44), [1]SBOM!$F:$G, 2, FALSE)), "")</f>
        <v>FlowArt: Dot-By-Letter, Wags &amp; Whiskers</v>
      </c>
      <c r="E44" s="6">
        <v>8</v>
      </c>
      <c r="F44" s="8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 s="6" customFormat="1">
      <c r="A45" s="6" t="s">
        <v>36</v>
      </c>
      <c r="B45" s="6">
        <f t="shared" si="0"/>
        <v>9</v>
      </c>
      <c r="C45" s="7" t="s">
        <v>55</v>
      </c>
      <c r="D45" s="6" t="str">
        <f>IFERROR(IFERROR(VLOOKUP($C45, [1]SBOM!$F:$G, 2, FALSE), VLOOKUP(VALUE($C45), [1]SBOM!$F:$G, 2, FALSE)), "")</f>
        <v>FlowArt: Trace-By-Line, Brunch in Bloom</v>
      </c>
      <c r="E45" s="6">
        <v>8</v>
      </c>
      <c r="F45" s="8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 s="6" customFormat="1">
      <c r="A46" s="6" t="s">
        <v>36</v>
      </c>
      <c r="B46" s="6">
        <f t="shared" si="0"/>
        <v>10</v>
      </c>
      <c r="C46" s="7" t="s">
        <v>23</v>
      </c>
      <c r="D46" s="6" t="str">
        <f>IFERROR(IFERROR(VLOOKUP($C46, [1]SBOM!$F:$G, 2, FALSE), VLOOKUP(VALUE($C46), [1]SBOM!$F:$G, 2, FALSE)), "")</f>
        <v>FlowArt: Dot-By-Letter, Day at the Beach</v>
      </c>
      <c r="E46" s="6">
        <v>8</v>
      </c>
      <c r="F46" s="8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 s="6" customFormat="1">
      <c r="A47" s="6" t="s">
        <v>36</v>
      </c>
      <c r="B47" s="6">
        <f t="shared" si="0"/>
        <v>11</v>
      </c>
      <c r="C47" s="7" t="s">
        <v>54</v>
      </c>
      <c r="D47" s="6" t="str">
        <f>IFERROR(IFERROR(VLOOKUP($C47, [1]SBOM!$F:$G, 2, FALSE), VLOOKUP(VALUE($C47), [1]SBOM!$F:$G, 2, FALSE)), "")</f>
        <v>FlowArt: Color-to-Reveal, Citrus Coastlines</v>
      </c>
      <c r="E47" s="6">
        <v>4</v>
      </c>
      <c r="F47" s="8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 s="6" customFormat="1">
      <c r="A48" s="6" t="s">
        <v>36</v>
      </c>
      <c r="B48" s="6">
        <f t="shared" si="0"/>
        <v>12</v>
      </c>
      <c r="C48" s="7" t="s">
        <v>22</v>
      </c>
      <c r="D48" s="6" t="str">
        <f>IFERROR(IFERROR(VLOOKUP($C48, [1]SBOM!$F:$G, 2, FALSE), VLOOKUP(VALUE($C48), [1]SBOM!$F:$G, 2, FALSE)), "")</f>
        <v>FlowArt: Trace-By-Line, Tropical Paradise</v>
      </c>
      <c r="E48" s="6">
        <v>8</v>
      </c>
      <c r="F48" s="8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6.5</v>
      </c>
    </row>
    <row r="49" spans="1:6" s="6" customFormat="1">
      <c r="A49" s="6" t="s">
        <v>36</v>
      </c>
      <c r="B49" s="6">
        <f t="shared" si="0"/>
        <v>13</v>
      </c>
      <c r="C49" s="7" t="s">
        <v>74</v>
      </c>
      <c r="D49" s="6" t="str">
        <f>IFERROR(IFERROR(VLOOKUP($C49, [1]SBOM!$F:$G, 2, FALSE), VLOOKUP(VALUE($C49), [1]SBOM!$F:$G, 2, FALSE)), "")</f>
        <v>FlowArt: Dot-By-Letter, Moonlit Garden [Metallic ink]</v>
      </c>
      <c r="E49" s="6">
        <v>4</v>
      </c>
      <c r="F49" s="8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6.5</v>
      </c>
    </row>
    <row r="50" spans="1:6" s="6" customFormat="1">
      <c r="A50" s="6" t="s">
        <v>36</v>
      </c>
      <c r="B50" s="6">
        <f t="shared" si="0"/>
        <v>14</v>
      </c>
      <c r="C50" s="7" t="s">
        <v>75</v>
      </c>
      <c r="D50" s="6" t="str">
        <f>IFERROR(IFERROR(VLOOKUP($C50, [1]SBOM!$F:$G, 2, FALSE), VLOOKUP(VALUE($C50), [1]SBOM!$F:$G, 2, FALSE)), "")</f>
        <v>FlowArt: Dot-By-Letter, Majestic Earth [Metallic ink]</v>
      </c>
      <c r="E50" s="6">
        <v>4</v>
      </c>
      <c r="F50" s="8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6.5</v>
      </c>
    </row>
    <row r="51" spans="1:6" s="6" customFormat="1">
      <c r="A51" s="6" t="s">
        <v>56</v>
      </c>
      <c r="B51" s="6">
        <f t="shared" si="0"/>
        <v>1</v>
      </c>
      <c r="C51" s="7" t="s">
        <v>32</v>
      </c>
      <c r="D51" s="6" t="str">
        <f>IFERROR(IFERROR(VLOOKUP($C51, [1]SBOM!$F:$G, 2, FALSE), VLOOKUP(VALUE($C51), [1]SBOM!$F:$G, 2, FALSE)), "")</f>
        <v>FlowArt: Dot-By-Letter, Into the Galaxy [Metallic ink]</v>
      </c>
      <c r="E51" s="6">
        <v>8</v>
      </c>
      <c r="F51" s="8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6.5</v>
      </c>
    </row>
    <row r="52" spans="1:6" s="6" customFormat="1">
      <c r="A52" s="6" t="s">
        <v>56</v>
      </c>
      <c r="B52" s="6">
        <f t="shared" si="0"/>
        <v>2</v>
      </c>
      <c r="C52" s="7" t="s">
        <v>33</v>
      </c>
      <c r="D52" s="6" t="str">
        <f>IFERROR(IFERROR(VLOOKUP($C52, [1]SBOM!$F:$G, 2, FALSE), VLOOKUP(VALUE($C52), [1]SBOM!$F:$G, 2, FALSE)), "")</f>
        <v>FlowArt: Dot-By-Letter, Into the Deep [Metallic ink]</v>
      </c>
      <c r="E52" s="6">
        <v>8</v>
      </c>
      <c r="F52" s="8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6.5</v>
      </c>
    </row>
    <row r="53" spans="1:6" s="6" customFormat="1">
      <c r="A53" s="6" t="s">
        <v>56</v>
      </c>
      <c r="B53" s="6">
        <f t="shared" si="0"/>
        <v>3</v>
      </c>
      <c r="C53" s="7" t="s">
        <v>19</v>
      </c>
      <c r="D53" s="6" t="str">
        <f>IFERROR(IFERROR(VLOOKUP($C53, [1]SBOM!$F:$G, 2, FALSE), VLOOKUP(VALUE($C53), [1]SBOM!$F:$G, 2, FALSE)), "")</f>
        <v>FlowArt: Dot-By-Letter, Cozy Cottage</v>
      </c>
      <c r="E53" s="6">
        <v>4</v>
      </c>
      <c r="F53" s="8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6.5</v>
      </c>
    </row>
    <row r="54" spans="1:6" s="6" customFormat="1">
      <c r="A54" s="6" t="s">
        <v>56</v>
      </c>
      <c r="B54" s="6">
        <f t="shared" si="0"/>
        <v>4</v>
      </c>
      <c r="C54" s="7" t="s">
        <v>77</v>
      </c>
      <c r="D54" s="6" t="str">
        <f>IFERROR(IFERROR(VLOOKUP($C54, [1]SBOM!$F:$G, 2, FALSE), VLOOKUP(VALUE($C54), [1]SBOM!$F:$G, 2, FALSE)), "")</f>
        <v>FlowArt: Dot-By-Letter, Botanicals</v>
      </c>
      <c r="E54" s="6">
        <v>4</v>
      </c>
      <c r="F54" s="8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6.5</v>
      </c>
    </row>
    <row r="55" spans="1:6" s="6" customFormat="1">
      <c r="A55" s="6" t="s">
        <v>56</v>
      </c>
      <c r="B55" s="6">
        <f t="shared" si="0"/>
        <v>5</v>
      </c>
      <c r="C55" s="7" t="s">
        <v>78</v>
      </c>
      <c r="D55" s="6" t="str">
        <f>IFERROR(IFERROR(VLOOKUP($C55, [1]SBOM!$F:$G, 2, FALSE), VLOOKUP(VALUE($C55), [1]SBOM!$F:$G, 2, FALSE)), "")</f>
        <v>FlowArt: Dot-By-Letter, Landscapes</v>
      </c>
      <c r="E55" s="6">
        <v>4</v>
      </c>
      <c r="F55" s="8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6.5</v>
      </c>
    </row>
    <row r="56" spans="1:6" s="6" customFormat="1">
      <c r="A56" s="6" t="s">
        <v>56</v>
      </c>
      <c r="B56" s="6">
        <f t="shared" si="0"/>
        <v>6</v>
      </c>
      <c r="C56" s="7" t="s">
        <v>34</v>
      </c>
      <c r="D56" s="6" t="str">
        <f>IFERROR(IFERROR(VLOOKUP($C56, [1]SBOM!$F:$G, 2, FALSE), VLOOKUP(VALUE($C56), [1]SBOM!$F:$G, 2, FALSE)), "")</f>
        <v>FlowArt: Trace-By-Groove, Jungle Oasis</v>
      </c>
      <c r="E56" s="6">
        <v>4</v>
      </c>
      <c r="F56" s="8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6.5</v>
      </c>
    </row>
    <row r="57" spans="1:6" s="6" customFormat="1">
      <c r="A57" s="6" t="s">
        <v>56</v>
      </c>
      <c r="B57" s="6">
        <f t="shared" si="0"/>
        <v>7</v>
      </c>
      <c r="C57" s="7" t="s">
        <v>23</v>
      </c>
      <c r="D57" s="6" t="str">
        <f>IFERROR(IFERROR(VLOOKUP($C57, [1]SBOM!$F:$G, 2, FALSE), VLOOKUP(VALUE($C57), [1]SBOM!$F:$G, 2, FALSE)), "")</f>
        <v>FlowArt: Dot-By-Letter, Day at the Beach</v>
      </c>
      <c r="E57" s="6">
        <v>8</v>
      </c>
      <c r="F57" s="8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6.5</v>
      </c>
    </row>
    <row r="58" spans="1:6" s="6" customFormat="1">
      <c r="A58" s="6" t="s">
        <v>56</v>
      </c>
      <c r="B58" s="6">
        <f t="shared" si="0"/>
        <v>8</v>
      </c>
      <c r="C58" s="7" t="s">
        <v>52</v>
      </c>
      <c r="D58" s="6" t="str">
        <f>IFERROR(IFERROR(VLOOKUP($C58, [1]SBOM!$F:$G, 2, FALSE), VLOOKUP(VALUE($C58), [1]SBOM!$F:$G, 2, FALSE)), "")</f>
        <v>FlowArt: Dot-By-Letter, Wags &amp; Whiskers</v>
      </c>
      <c r="E58" s="6">
        <v>8</v>
      </c>
      <c r="F58" s="8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6.5</v>
      </c>
    </row>
    <row r="59" spans="1:6" s="6" customFormat="1">
      <c r="A59" s="6" t="s">
        <v>56</v>
      </c>
      <c r="B59" s="6">
        <f t="shared" si="0"/>
        <v>9</v>
      </c>
      <c r="C59" s="7" t="s">
        <v>54</v>
      </c>
      <c r="D59" s="6" t="str">
        <f>IFERROR(IFERROR(VLOOKUP($C59, [1]SBOM!$F:$G, 2, FALSE), VLOOKUP(VALUE($C59), [1]SBOM!$F:$G, 2, FALSE)), "")</f>
        <v>FlowArt: Color-to-Reveal, Citrus Coastlines</v>
      </c>
      <c r="E59" s="6">
        <v>4</v>
      </c>
      <c r="F59" s="8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</row>
    <row r="60" spans="1:6" s="6" customFormat="1">
      <c r="A60" s="6" t="s">
        <v>56</v>
      </c>
      <c r="B60" s="6">
        <f t="shared" si="0"/>
        <v>10</v>
      </c>
      <c r="C60" s="7" t="s">
        <v>27</v>
      </c>
      <c r="D60" s="6" t="str">
        <f>IFERROR(IFERROR(VLOOKUP($C60, [1]SBOM!$F:$G, 2, FALSE), VLOOKUP(VALUE($C60), [1]SBOM!$F:$G, 2, FALSE)), "")</f>
        <v>FlowArt: Dot-By-Letter, Sweater Weather [2026]</v>
      </c>
      <c r="E60" s="6">
        <v>4</v>
      </c>
      <c r="F60" s="8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 s="6" customFormat="1">
      <c r="A61" s="6" t="s">
        <v>56</v>
      </c>
      <c r="B61" s="6">
        <f t="shared" si="0"/>
        <v>11</v>
      </c>
      <c r="C61" s="7" t="s">
        <v>26</v>
      </c>
      <c r="D61" s="6" t="str">
        <f>IFERROR(IFERROR(VLOOKUP($C61, [1]SBOM!$F:$G, 2, FALSE), VLOOKUP(VALUE($C61), [1]SBOM!$F:$G, 2, FALSE)), "")</f>
        <v>FlowArt: Trace-By-Line, Fall Harvest</v>
      </c>
      <c r="E61" s="6">
        <v>4</v>
      </c>
      <c r="F61" s="8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 s="6" customFormat="1">
      <c r="A62" s="6" t="s">
        <v>51</v>
      </c>
      <c r="B62" s="6">
        <f t="shared" si="0"/>
        <v>1</v>
      </c>
      <c r="C62" s="7" t="s">
        <v>32</v>
      </c>
      <c r="D62" s="6" t="str">
        <f>IFERROR(IFERROR(VLOOKUP($C62, [1]SBOM!$F:$G, 2, FALSE), VLOOKUP(VALUE($C62), [1]SBOM!$F:$G, 2, FALSE)), "")</f>
        <v>FlowArt: Dot-By-Letter, Into the Galaxy [Metallic ink]</v>
      </c>
      <c r="E62" s="6">
        <v>12</v>
      </c>
      <c r="F62" s="8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5</v>
      </c>
    </row>
    <row r="63" spans="1:6" s="6" customFormat="1">
      <c r="A63" s="6" t="s">
        <v>51</v>
      </c>
      <c r="B63" s="6">
        <f t="shared" si="0"/>
        <v>2</v>
      </c>
      <c r="C63" s="7" t="s">
        <v>52</v>
      </c>
      <c r="D63" s="6" t="str">
        <f>IFERROR(IFERROR(VLOOKUP($C63, [1]SBOM!$F:$G, 2, FALSE), VLOOKUP(VALUE($C63), [1]SBOM!$F:$G, 2, FALSE)), "")</f>
        <v>FlowArt: Dot-By-Letter, Wags &amp; Whiskers</v>
      </c>
      <c r="E63" s="6">
        <v>12</v>
      </c>
      <c r="F63" s="8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5</v>
      </c>
    </row>
    <row r="64" spans="1:6" s="6" customFormat="1">
      <c r="A64" s="6" t="s">
        <v>51</v>
      </c>
      <c r="B64" s="6">
        <f t="shared" si="0"/>
        <v>3</v>
      </c>
      <c r="C64" s="7" t="s">
        <v>33</v>
      </c>
      <c r="D64" s="6" t="str">
        <f>IFERROR(IFERROR(VLOOKUP($C64, [1]SBOM!$F:$G, 2, FALSE), VLOOKUP(VALUE($C64), [1]SBOM!$F:$G, 2, FALSE)), "")</f>
        <v>FlowArt: Dot-By-Letter, Into the Deep [Metallic ink]</v>
      </c>
      <c r="E64" s="6">
        <v>12</v>
      </c>
      <c r="F64" s="8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5</v>
      </c>
    </row>
    <row r="65" spans="1:6" s="6" customFormat="1">
      <c r="A65" s="6" t="s">
        <v>51</v>
      </c>
      <c r="B65" s="6">
        <f t="shared" si="0"/>
        <v>4</v>
      </c>
      <c r="C65" s="7" t="s">
        <v>21</v>
      </c>
      <c r="D65" s="6" t="str">
        <f>IFERROR(IFERROR(VLOOKUP($C65, [1]SBOM!$F:$G, 2, FALSE), VLOOKUP(VALUE($C65), [1]SBOM!$F:$G, 2, FALSE)), "")</f>
        <v>FlowArt: Color-to-Reveal, Fragrant Blooms</v>
      </c>
      <c r="E65" s="6">
        <v>4</v>
      </c>
      <c r="F65" s="8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5</v>
      </c>
    </row>
    <row r="66" spans="1:6" s="6" customFormat="1">
      <c r="A66" s="6" t="s">
        <v>51</v>
      </c>
      <c r="B66" s="6">
        <f t="shared" si="0"/>
        <v>5</v>
      </c>
      <c r="C66" s="7" t="s">
        <v>23</v>
      </c>
      <c r="D66" s="6" t="str">
        <f>IFERROR(IFERROR(VLOOKUP($C66, [1]SBOM!$F:$G, 2, FALSE), VLOOKUP(VALUE($C66), [1]SBOM!$F:$G, 2, FALSE)), "")</f>
        <v>FlowArt: Dot-By-Letter, Day at the Beach</v>
      </c>
      <c r="E66" s="6">
        <v>12</v>
      </c>
      <c r="F66" s="8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5</v>
      </c>
    </row>
    <row r="67" spans="1:6" s="6" customFormat="1">
      <c r="A67" s="6" t="s">
        <v>51</v>
      </c>
      <c r="B67" s="6">
        <f t="shared" si="0"/>
        <v>6</v>
      </c>
      <c r="C67" s="7" t="s">
        <v>54</v>
      </c>
      <c r="D67" s="6" t="str">
        <f>IFERROR(IFERROR(VLOOKUP($C67, [1]SBOM!$F:$G, 2, FALSE), VLOOKUP(VALUE($C67), [1]SBOM!$F:$G, 2, FALSE)), "")</f>
        <v>FlowArt: Color-to-Reveal, Citrus Coastlines</v>
      </c>
      <c r="E67" s="6">
        <v>4</v>
      </c>
      <c r="F67" s="8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5</v>
      </c>
    </row>
    <row r="68" spans="1:6" s="6" customFormat="1">
      <c r="A68" s="6" t="s">
        <v>51</v>
      </c>
      <c r="B68" s="6">
        <f t="shared" si="0"/>
        <v>7</v>
      </c>
      <c r="C68" s="7" t="s">
        <v>34</v>
      </c>
      <c r="D68" s="6" t="str">
        <f>IFERROR(IFERROR(VLOOKUP($C68, [1]SBOM!$F:$G, 2, FALSE), VLOOKUP(VALUE($C68), [1]SBOM!$F:$G, 2, FALSE)), "")</f>
        <v>FlowArt: Trace-By-Groove, Jungle Oasis</v>
      </c>
      <c r="E68" s="6">
        <v>8</v>
      </c>
      <c r="F68" s="8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5</v>
      </c>
    </row>
    <row r="69" spans="1:6" s="6" customFormat="1">
      <c r="A69" s="6" t="s">
        <v>51</v>
      </c>
      <c r="B69" s="6">
        <f t="shared" si="0"/>
        <v>8</v>
      </c>
      <c r="C69" s="7" t="s">
        <v>19</v>
      </c>
      <c r="D69" s="6" t="str">
        <f>IFERROR(IFERROR(VLOOKUP($C69, [1]SBOM!$F:$G, 2, FALSE), VLOOKUP(VALUE($C69), [1]SBOM!$F:$G, 2, FALSE)), "")</f>
        <v>FlowArt: Dot-By-Letter, Cozy Cottage</v>
      </c>
      <c r="E69" s="6">
        <v>12</v>
      </c>
      <c r="F69" s="8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5</v>
      </c>
    </row>
    <row r="70" spans="1:6" s="6" customFormat="1">
      <c r="A70" s="6" t="s">
        <v>51</v>
      </c>
      <c r="B70" s="6">
        <f t="shared" si="0"/>
        <v>9</v>
      </c>
      <c r="C70" s="7" t="s">
        <v>37</v>
      </c>
      <c r="D70" s="6" t="str">
        <f>IFERROR(IFERROR(VLOOKUP($C70, [1]SBOM!$F:$G, 2, FALSE), VLOOKUP(VALUE($C70), [1]SBOM!$F:$G, 2, FALSE)), "")</f>
        <v>FlowArt - Spinner Tower - Empty</v>
      </c>
      <c r="E70" s="6">
        <v>1</v>
      </c>
      <c r="F70" s="8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0</v>
      </c>
    </row>
    <row r="71" spans="1:6" s="6" customFormat="1">
      <c r="A71" s="6" t="s">
        <v>51</v>
      </c>
      <c r="B71" s="6">
        <f t="shared" ref="B71:B124" si="1">IF(A70=A71, B70+1, 1)</f>
        <v>10</v>
      </c>
      <c r="C71" s="7" t="s">
        <v>75</v>
      </c>
      <c r="D71" s="6" t="str">
        <f>IFERROR(IFERROR(VLOOKUP($C71, [1]SBOM!$F:$G, 2, FALSE), VLOOKUP(VALUE($C71), [1]SBOM!$F:$G, 2, FALSE)), "")</f>
        <v>FlowArt: Dot-By-Letter, Majestic Earth [Metallic ink]</v>
      </c>
      <c r="E71" s="6">
        <v>12</v>
      </c>
      <c r="F71" s="8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5</v>
      </c>
    </row>
    <row r="72" spans="1:6" s="6" customFormat="1">
      <c r="A72" s="6" t="s">
        <v>51</v>
      </c>
      <c r="B72" s="6">
        <f t="shared" si="1"/>
        <v>11</v>
      </c>
      <c r="C72" s="7" t="s">
        <v>74</v>
      </c>
      <c r="D72" s="6" t="str">
        <f>IFERROR(IFERROR(VLOOKUP($C72, [1]SBOM!$F:$G, 2, FALSE), VLOOKUP(VALUE($C72), [1]SBOM!$F:$G, 2, FALSE)), "")</f>
        <v>FlowArt: Dot-By-Letter, Moonlit Garden [Metallic ink]</v>
      </c>
      <c r="E72" s="6">
        <v>12</v>
      </c>
      <c r="F72" s="8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5</v>
      </c>
    </row>
    <row r="73" spans="1:6" s="6" customFormat="1">
      <c r="A73" s="6" t="s">
        <v>51</v>
      </c>
      <c r="B73" s="6">
        <f t="shared" si="1"/>
        <v>12</v>
      </c>
      <c r="C73" s="7" t="s">
        <v>79</v>
      </c>
      <c r="D73" s="6" t="str">
        <f>IFERROR(IFERROR(VLOOKUP($C73, [1]SBOM!$F:$G, 2, FALSE), VLOOKUP(VALUE($C73), [1]SBOM!$F:$G, 2, FALSE)), "")</f>
        <v>FlowArt: Color-to-Reveal, Animals</v>
      </c>
      <c r="E73" s="6">
        <v>4</v>
      </c>
      <c r="F73" s="8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5</v>
      </c>
    </row>
    <row r="74" spans="1:6" s="6" customFormat="1">
      <c r="A74" s="6" t="s">
        <v>51</v>
      </c>
      <c r="B74" s="6">
        <f>IF(A73=A74, B73+1, 1)</f>
        <v>13</v>
      </c>
      <c r="C74" s="7" t="s">
        <v>62</v>
      </c>
      <c r="D74" s="6" t="str">
        <f>IFERROR(IFERROR(VLOOKUP($C74, [1]SBOM!$F:$G, 2, FALSE), VLOOKUP(VALUE($C74), [1]SBOM!$F:$G, 2, FALSE)), "")</f>
        <v>FlowArt: Color-to-Reveal, Fall is in the Air [Scented]</v>
      </c>
      <c r="E74" s="6">
        <v>8</v>
      </c>
      <c r="F74" s="8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5</v>
      </c>
    </row>
    <row r="75" spans="1:6" s="6" customFormat="1">
      <c r="A75" s="6" t="s">
        <v>51</v>
      </c>
      <c r="B75" s="6">
        <f t="shared" si="1"/>
        <v>14</v>
      </c>
      <c r="C75" s="7" t="s">
        <v>27</v>
      </c>
      <c r="D75" s="6" t="str">
        <f>IFERROR(IFERROR(VLOOKUP($C75, [1]SBOM!$F:$G, 2, FALSE), VLOOKUP(VALUE($C75), [1]SBOM!$F:$G, 2, FALSE)), "")</f>
        <v>FlowArt: Dot-By-Letter, Sweater Weather [2026]</v>
      </c>
      <c r="E75" s="6">
        <v>12</v>
      </c>
      <c r="F75" s="8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5</v>
      </c>
    </row>
    <row r="76" spans="1:6" s="6" customFormat="1">
      <c r="A76" s="6" t="s">
        <v>51</v>
      </c>
      <c r="B76" s="6">
        <f t="shared" si="1"/>
        <v>15</v>
      </c>
      <c r="C76" s="7" t="s">
        <v>76</v>
      </c>
      <c r="D76" s="6" t="str">
        <f>IFERROR(IFERROR(VLOOKUP($C76, [1]SBOM!$F:$G, 2, FALSE), VLOOKUP(VALUE($C76), [1]SBOM!$F:$G, 2, FALSE)), "")</f>
        <v>FlowArt: Dot-By-Letter, Everyday Inspiration</v>
      </c>
      <c r="E76" s="6">
        <v>12</v>
      </c>
      <c r="F76" s="8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5</v>
      </c>
    </row>
    <row r="77" spans="1:6" s="6" customFormat="1">
      <c r="A77" s="6" t="s">
        <v>51</v>
      </c>
      <c r="B77" s="6">
        <f t="shared" si="1"/>
        <v>16</v>
      </c>
      <c r="C77" s="7" t="s">
        <v>26</v>
      </c>
      <c r="D77" s="6" t="str">
        <f>IFERROR(IFERROR(VLOOKUP($C77, [1]SBOM!$F:$G, 2, FALSE), VLOOKUP(VALUE($C77), [1]SBOM!$F:$G, 2, FALSE)), "")</f>
        <v>FlowArt: Trace-By-Line, Fall Harvest</v>
      </c>
      <c r="E77" s="6">
        <v>16</v>
      </c>
      <c r="F77" s="8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5</v>
      </c>
    </row>
    <row r="78" spans="1:6" s="6" customFormat="1">
      <c r="A78" s="6" t="s">
        <v>51</v>
      </c>
      <c r="B78" s="6">
        <f t="shared" si="1"/>
        <v>17</v>
      </c>
      <c r="C78" s="7" t="s">
        <v>25</v>
      </c>
      <c r="D78" s="6" t="str">
        <f>IFERROR(IFERROR(VLOOKUP($C78, [1]SBOM!$F:$G, 2, FALSE), VLOOKUP(VALUE($C78), [1]SBOM!$F:$G, 2, FALSE)), "")</f>
        <v>FlowArt: Dot-By-Letter, Pumpkins &amp; Pastures</v>
      </c>
      <c r="E78" s="6">
        <v>4</v>
      </c>
      <c r="F78" s="8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5</v>
      </c>
    </row>
    <row r="79" spans="1:6" s="6" customFormat="1">
      <c r="A79" s="6" t="s">
        <v>51</v>
      </c>
      <c r="B79" s="6">
        <f t="shared" si="1"/>
        <v>18</v>
      </c>
      <c r="C79" s="7" t="s">
        <v>24</v>
      </c>
      <c r="D79" s="6" t="str">
        <f>IFERROR(IFERROR(VLOOKUP($C79, [1]SBOM!$F:$G, 2, FALSE), VLOOKUP(VALUE($C79), [1]SBOM!$F:$G, 2, FALSE)), "")</f>
        <v>FlowArt: Dot-By-Letter, Strolling through Fall</v>
      </c>
      <c r="E79" s="6">
        <v>4</v>
      </c>
      <c r="F79" s="8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5</v>
      </c>
    </row>
    <row r="80" spans="1:6" s="6" customFormat="1">
      <c r="A80" s="6" t="s">
        <v>65</v>
      </c>
      <c r="B80" s="6">
        <f t="shared" si="1"/>
        <v>1</v>
      </c>
      <c r="C80" s="7" t="s">
        <v>69</v>
      </c>
      <c r="D80" s="6" t="str">
        <f>IFERROR(IFERROR(VLOOKUP($C80, [1]SBOM!$F:$G, 2, FALSE), VLOOKUP(VALUE($C80), [1]SBOM!$F:$G, 2, FALSE)), "")</f>
        <v>Scented Stacking Highlighters - 2-pack</v>
      </c>
      <c r="E80" s="6">
        <v>4</v>
      </c>
      <c r="F80" s="8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6.5</v>
      </c>
    </row>
    <row r="81" spans="1:6" s="6" customFormat="1">
      <c r="A81" s="6" t="s">
        <v>65</v>
      </c>
      <c r="B81" s="6">
        <f t="shared" si="1"/>
        <v>2</v>
      </c>
      <c r="C81" s="7" t="s">
        <v>81</v>
      </c>
      <c r="D81" s="6" t="str">
        <f>IFERROR(IFERROR(VLOOKUP($C81, [1]SBOM!$F:$G, 2, FALSE), VLOOKUP(VALUE($C81), [1]SBOM!$F:$G, 2, FALSE)), "")</f>
        <v>FlowArt: Illuminate &amp; Create, Wildlife</v>
      </c>
      <c r="E81" s="6">
        <v>4</v>
      </c>
      <c r="F81" s="8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6.5</v>
      </c>
    </row>
    <row r="82" spans="1:6" s="6" customFormat="1">
      <c r="A82" s="6" t="s">
        <v>65</v>
      </c>
      <c r="B82" s="6">
        <f t="shared" si="1"/>
        <v>3</v>
      </c>
      <c r="C82" s="7" t="s">
        <v>82</v>
      </c>
      <c r="D82" s="6" t="str">
        <f>IFERROR(IFERROR(VLOOKUP($C82, [1]SBOM!$F:$G, 2, FALSE), VLOOKUP(VALUE($C82), [1]SBOM!$F:$G, 2, FALSE)), "")</f>
        <v>FlowArt: Pogo-Dot, Nature</v>
      </c>
      <c r="E82" s="6">
        <v>4</v>
      </c>
      <c r="F82" s="8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 s="6" customFormat="1">
      <c r="A83" s="6" t="s">
        <v>65</v>
      </c>
      <c r="B83" s="6">
        <f t="shared" si="1"/>
        <v>4</v>
      </c>
      <c r="C83" s="7" t="s">
        <v>78</v>
      </c>
      <c r="D83" s="6" t="str">
        <f>IFERROR(IFERROR(VLOOKUP($C83, [1]SBOM!$F:$G, 2, FALSE), VLOOKUP(VALUE($C83), [1]SBOM!$F:$G, 2, FALSE)), "")</f>
        <v>FlowArt: Dot-By-Letter, Landscapes</v>
      </c>
      <c r="E83" s="6">
        <v>4</v>
      </c>
      <c r="F83" s="8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 s="6" customFormat="1">
      <c r="A84" s="6" t="s">
        <v>65</v>
      </c>
      <c r="B84" s="6">
        <f t="shared" si="1"/>
        <v>5</v>
      </c>
      <c r="C84" s="7" t="s">
        <v>83</v>
      </c>
      <c r="D84" s="6" t="str">
        <f>IFERROR(IFERROR(VLOOKUP($C84, [1]SBOM!$F:$G, 2, FALSE), VLOOKUP(VALUE($C84), [1]SBOM!$F:$G, 2, FALSE)), "")</f>
        <v>FlowArt: Illuminate &amp; Create, Foliage and Flowers</v>
      </c>
      <c r="E84" s="6">
        <v>4</v>
      </c>
      <c r="F84" s="8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 s="6" customFormat="1">
      <c r="A85" s="6" t="s">
        <v>65</v>
      </c>
      <c r="B85" s="6">
        <f t="shared" si="1"/>
        <v>6</v>
      </c>
      <c r="C85" s="7" t="s">
        <v>79</v>
      </c>
      <c r="D85" s="6" t="str">
        <f>IFERROR(IFERROR(VLOOKUP($C85, [1]SBOM!$F:$G, 2, FALSE), VLOOKUP(VALUE($C85), [1]SBOM!$F:$G, 2, FALSE)), "")</f>
        <v>FlowArt: Color-to-Reveal, Animals</v>
      </c>
      <c r="E85" s="6">
        <v>4</v>
      </c>
      <c r="F85" s="8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 s="6" customFormat="1">
      <c r="A86" s="6" t="s">
        <v>65</v>
      </c>
      <c r="B86" s="6">
        <f t="shared" si="1"/>
        <v>7</v>
      </c>
      <c r="C86" s="7" t="s">
        <v>77</v>
      </c>
      <c r="D86" s="6" t="str">
        <f>IFERROR(IFERROR(VLOOKUP($C86, [1]SBOM!$F:$G, 2, FALSE), VLOOKUP(VALUE($C86), [1]SBOM!$F:$G, 2, FALSE)), "")</f>
        <v>FlowArt: Dot-By-Letter, Botanicals</v>
      </c>
      <c r="E86" s="6">
        <v>4</v>
      </c>
      <c r="F86" s="8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 s="6" customFormat="1">
      <c r="A87" s="6" t="s">
        <v>65</v>
      </c>
      <c r="B87" s="6">
        <f t="shared" si="1"/>
        <v>8</v>
      </c>
      <c r="C87" s="7" t="s">
        <v>41</v>
      </c>
      <c r="D87" s="6" t="str">
        <f>IFERROR(IFERROR(VLOOKUP($C87, [1]SBOM!$F:$G, 2, FALSE), VLOOKUP(VALUE($C87), [1]SBOM!$F:$G, 2, FALSE)), "")</f>
        <v xml:space="preserve">Scented Lava Pen Set - 2-pack (Blue / Green) </v>
      </c>
      <c r="E87" s="6">
        <v>4</v>
      </c>
      <c r="F87" s="8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 s="6" customFormat="1">
      <c r="A88" s="6" t="s">
        <v>65</v>
      </c>
      <c r="B88" s="6">
        <f t="shared" si="1"/>
        <v>9</v>
      </c>
      <c r="C88" s="7" t="s">
        <v>70</v>
      </c>
      <c r="D88" s="6" t="str">
        <f>IFERROR(IFERROR(VLOOKUP($C88, [1]SBOM!$F:$G, 2, FALSE), VLOOKUP(VALUE($C88), [1]SBOM!$F:$G, 2, FALSE)), "")</f>
        <v>Lava Pen 2 Pack - Purple/Orange</v>
      </c>
      <c r="E88" s="6">
        <v>4</v>
      </c>
      <c r="F88" s="8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 s="6" customFormat="1">
      <c r="A89" s="6" t="s">
        <v>65</v>
      </c>
      <c r="B89" s="6">
        <f t="shared" si="1"/>
        <v>10</v>
      </c>
      <c r="C89" s="7" t="s">
        <v>71</v>
      </c>
      <c r="D89" s="6" t="str">
        <f>IFERROR(IFERROR(VLOOKUP($C89, [1]SBOM!$F:$G, 2, FALSE), VLOOKUP(VALUE($C89), [1]SBOM!$F:$G, 2, FALSE)), "")</f>
        <v>Lava Pen 2 Pack - Black/Red</v>
      </c>
      <c r="E89" s="6">
        <v>4</v>
      </c>
      <c r="F89" s="8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 s="6" customFormat="1">
      <c r="A90" s="6" t="s">
        <v>65</v>
      </c>
      <c r="B90" s="6">
        <f t="shared" si="1"/>
        <v>11</v>
      </c>
      <c r="C90" s="7" t="s">
        <v>72</v>
      </c>
      <c r="D90" s="6" t="str">
        <f>IFERROR(IFERROR(VLOOKUP($C90, [1]SBOM!$F:$G, 2, FALSE), VLOOKUP(VALUE($C90), [1]SBOM!$F:$G, 2, FALSE)), "")</f>
        <v xml:space="preserve">Scented Lava Pen Set - 2-pack (Blue / Red) </v>
      </c>
      <c r="E90" s="6">
        <v>4</v>
      </c>
      <c r="F90" s="8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 s="6" customFormat="1">
      <c r="A91" s="6" t="s">
        <v>58</v>
      </c>
      <c r="B91" s="6">
        <f t="shared" si="1"/>
        <v>1</v>
      </c>
      <c r="C91" s="7" t="s">
        <v>24</v>
      </c>
      <c r="D91" s="6" t="str">
        <f>IFERROR(IFERROR(VLOOKUP($C91, [1]SBOM!$F:$G, 2, FALSE), VLOOKUP(VALUE($C91), [1]SBOM!$F:$G, 2, FALSE)), "")</f>
        <v>FlowArt: Dot-By-Letter, Strolling through Fall</v>
      </c>
      <c r="E91" s="6">
        <v>4</v>
      </c>
      <c r="F91" s="8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 s="6" customFormat="1">
      <c r="A92" s="6" t="s">
        <v>58</v>
      </c>
      <c r="B92" s="6">
        <f t="shared" si="1"/>
        <v>2</v>
      </c>
      <c r="C92" s="7" t="s">
        <v>25</v>
      </c>
      <c r="D92" s="6" t="str">
        <f>IFERROR(IFERROR(VLOOKUP($C92, [1]SBOM!$F:$G, 2, FALSE), VLOOKUP(VALUE($C92), [1]SBOM!$F:$G, 2, FALSE)), "")</f>
        <v>FlowArt: Dot-By-Letter, Pumpkins &amp; Pastures</v>
      </c>
      <c r="E92" s="6">
        <v>4</v>
      </c>
      <c r="F92" s="8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 s="6" customFormat="1">
      <c r="A93" s="6" t="s">
        <v>58</v>
      </c>
      <c r="B93" s="6">
        <f t="shared" si="1"/>
        <v>3</v>
      </c>
      <c r="C93" s="7" t="s">
        <v>27</v>
      </c>
      <c r="D93" s="6" t="str">
        <f>IFERROR(IFERROR(VLOOKUP($C93, [1]SBOM!$F:$G, 2, FALSE), VLOOKUP(VALUE($C93), [1]SBOM!$F:$G, 2, FALSE)), "")</f>
        <v>FlowArt: Dot-By-Letter, Sweater Weather [2026]</v>
      </c>
      <c r="E93" s="6">
        <v>8</v>
      </c>
      <c r="F93" s="8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 s="6" customFormat="1">
      <c r="A94" s="6" t="s">
        <v>58</v>
      </c>
      <c r="B94" s="6">
        <f t="shared" si="1"/>
        <v>4</v>
      </c>
      <c r="C94" s="7" t="s">
        <v>26</v>
      </c>
      <c r="D94" s="6" t="str">
        <f>IFERROR(IFERROR(VLOOKUP($C94, [1]SBOM!$F:$G, 2, FALSE), VLOOKUP(VALUE($C94), [1]SBOM!$F:$G, 2, FALSE)), "")</f>
        <v>FlowArt: Trace-By-Line, Fall Harvest</v>
      </c>
      <c r="E94" s="6">
        <v>4</v>
      </c>
      <c r="F94" s="8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 s="6" customFormat="1">
      <c r="A95" s="6" t="s">
        <v>58</v>
      </c>
      <c r="B95" s="6">
        <f t="shared" si="1"/>
        <v>5</v>
      </c>
      <c r="C95" s="7" t="s">
        <v>62</v>
      </c>
      <c r="D95" s="6" t="str">
        <f>IFERROR(IFERROR(VLOOKUP($C95, [1]SBOM!$F:$G, 2, FALSE), VLOOKUP(VALUE($C95), [1]SBOM!$F:$G, 2, FALSE)), "")</f>
        <v>FlowArt: Color-to-Reveal, Fall is in the Air [Scented]</v>
      </c>
      <c r="E95" s="6">
        <v>4</v>
      </c>
      <c r="F95" s="8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 s="6" customFormat="1">
      <c r="A96" s="6" t="s">
        <v>57</v>
      </c>
      <c r="B96" s="6">
        <f t="shared" si="1"/>
        <v>1</v>
      </c>
      <c r="C96" s="7" t="s">
        <v>19</v>
      </c>
      <c r="D96" s="6" t="str">
        <f>IFERROR(IFERROR(VLOOKUP($C96, [1]SBOM!$F:$G, 2, FALSE), VLOOKUP(VALUE($C96), [1]SBOM!$F:$G, 2, FALSE)), "")</f>
        <v>FlowArt: Dot-By-Letter, Cozy Cottage</v>
      </c>
      <c r="E96" s="6">
        <v>8</v>
      </c>
      <c r="F96" s="8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 s="6" customFormat="1">
      <c r="A97" s="6" t="s">
        <v>57</v>
      </c>
      <c r="B97" s="6">
        <f t="shared" si="1"/>
        <v>2</v>
      </c>
      <c r="C97" s="7" t="s">
        <v>21</v>
      </c>
      <c r="D97" s="6" t="str">
        <f>IFERROR(IFERROR(VLOOKUP($C97, [1]SBOM!$F:$G, 2, FALSE), VLOOKUP(VALUE($C97), [1]SBOM!$F:$G, 2, FALSE)), "")</f>
        <v>FlowArt: Color-to-Reveal, Fragrant Blooms</v>
      </c>
      <c r="E97" s="6">
        <v>4</v>
      </c>
      <c r="F97" s="8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 s="6" customFormat="1">
      <c r="A98" s="6" t="s">
        <v>57</v>
      </c>
      <c r="B98" s="6">
        <f t="shared" si="1"/>
        <v>3</v>
      </c>
      <c r="C98" s="7" t="s">
        <v>20</v>
      </c>
      <c r="D98" s="6" t="str">
        <f>IFERROR(IFERROR(VLOOKUP($C98, [1]SBOM!$F:$G, 2, FALSE), VLOOKUP(VALUE($C98), [1]SBOM!$F:$G, 2, FALSE)), "")</f>
        <v>FlowArt: Stamp by Shape, Secret Garden</v>
      </c>
      <c r="E98" s="6">
        <v>4</v>
      </c>
      <c r="F98" s="8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 s="6" customFormat="1">
      <c r="A99" s="6" t="s">
        <v>57</v>
      </c>
      <c r="B99" s="6">
        <f t="shared" si="1"/>
        <v>4</v>
      </c>
      <c r="C99" s="7" t="s">
        <v>23</v>
      </c>
      <c r="D99" s="6" t="str">
        <f>IFERROR(IFERROR(VLOOKUP($C99, [1]SBOM!$F:$G, 2, FALSE), VLOOKUP(VALUE($C99), [1]SBOM!$F:$G, 2, FALSE)), "")</f>
        <v>FlowArt: Dot-By-Letter, Day at the Beach</v>
      </c>
      <c r="E99" s="6">
        <v>4</v>
      </c>
      <c r="F99" s="8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 s="6" customFormat="1">
      <c r="A100" s="6" t="s">
        <v>57</v>
      </c>
      <c r="B100" s="6">
        <f t="shared" si="1"/>
        <v>5</v>
      </c>
      <c r="C100" s="7" t="s">
        <v>55</v>
      </c>
      <c r="D100" s="6" t="str">
        <f>IFERROR(IFERROR(VLOOKUP($C100, [1]SBOM!$F:$G, 2, FALSE), VLOOKUP(VALUE($C100), [1]SBOM!$F:$G, 2, FALSE)), "")</f>
        <v>FlowArt: Trace-By-Line, Brunch in Bloom</v>
      </c>
      <c r="E100" s="6">
        <v>4</v>
      </c>
      <c r="F100" s="8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 s="6" customFormat="1">
      <c r="A101" s="6" t="s">
        <v>57</v>
      </c>
      <c r="B101" s="6">
        <f t="shared" si="1"/>
        <v>6</v>
      </c>
      <c r="C101" s="7" t="s">
        <v>53</v>
      </c>
      <c r="D101" s="6" t="str">
        <f>IFERROR(IFERROR(VLOOKUP($C101, [1]SBOM!$F:$G, 2, FALSE), VLOOKUP(VALUE($C101), [1]SBOM!$F:$G, 2, FALSE)), "")</f>
        <v>FlowArt: Dot-By-Letter, Americana</v>
      </c>
      <c r="E101" s="6">
        <v>8</v>
      </c>
      <c r="F101" s="8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 s="6" customFormat="1">
      <c r="A102" s="6" t="s">
        <v>57</v>
      </c>
      <c r="B102" s="6">
        <f t="shared" si="1"/>
        <v>7</v>
      </c>
      <c r="C102" s="7" t="s">
        <v>33</v>
      </c>
      <c r="D102" s="6" t="str">
        <f>IFERROR(IFERROR(VLOOKUP($C102, [1]SBOM!$F:$G, 2, FALSE), VLOOKUP(VALUE($C102), [1]SBOM!$F:$G, 2, FALSE)), "")</f>
        <v>FlowArt: Dot-By-Letter, Into the Deep [Metallic ink]</v>
      </c>
      <c r="E102" s="6">
        <v>4</v>
      </c>
      <c r="F102" s="8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 s="6" customFormat="1">
      <c r="A103" s="6" t="s">
        <v>57</v>
      </c>
      <c r="B103" s="6">
        <f t="shared" si="1"/>
        <v>8</v>
      </c>
      <c r="C103" s="7" t="s">
        <v>54</v>
      </c>
      <c r="D103" s="6" t="str">
        <f>IFERROR(IFERROR(VLOOKUP($C103, [1]SBOM!$F:$G, 2, FALSE), VLOOKUP(VALUE($C103), [1]SBOM!$F:$G, 2, FALSE)), "")</f>
        <v>FlowArt: Color-to-Reveal, Citrus Coastlines</v>
      </c>
      <c r="E103" s="6">
        <v>4</v>
      </c>
      <c r="F103" s="8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 s="6" customFormat="1">
      <c r="A104" s="6" t="s">
        <v>59</v>
      </c>
      <c r="B104" s="6">
        <f t="shared" si="1"/>
        <v>1</v>
      </c>
      <c r="C104" s="7" t="s">
        <v>28</v>
      </c>
      <c r="D104" s="6" t="str">
        <f>IFERROR(IFERROR(VLOOKUP($C104, [1]SBOM!$F:$G, 2, FALSE), VLOOKUP(VALUE($C104), [1]SBOM!$F:$G, 2, FALSE)), "")</f>
        <v>FlowArt: Dot-By-Letter, Winter Wonderland</v>
      </c>
      <c r="E104" s="6">
        <v>4</v>
      </c>
      <c r="F104" s="8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 s="6" customFormat="1">
      <c r="A105" s="6" t="s">
        <v>59</v>
      </c>
      <c r="B105" s="6">
        <f t="shared" si="1"/>
        <v>2</v>
      </c>
      <c r="C105" s="7" t="s">
        <v>29</v>
      </c>
      <c r="D105" s="6" t="str">
        <f>IFERROR(IFERROR(VLOOKUP($C105, [1]SBOM!$F:$G, 2, FALSE), VLOOKUP(VALUE($C105), [1]SBOM!$F:$G, 2, FALSE)), "")</f>
        <v>FlowArt: Dot-By-Letter, Snowed In</v>
      </c>
      <c r="E105" s="6">
        <v>4</v>
      </c>
      <c r="F105" s="8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 s="6" customFormat="1">
      <c r="A106" s="6" t="s">
        <v>59</v>
      </c>
      <c r="B106" s="6">
        <f t="shared" si="1"/>
        <v>3</v>
      </c>
      <c r="C106" s="7" t="s">
        <v>30</v>
      </c>
      <c r="D106" s="6" t="str">
        <f>IFERROR(IFERROR(VLOOKUP($C106, [1]SBOM!$F:$G, 2, FALSE), VLOOKUP(VALUE($C106), [1]SBOM!$F:$G, 2, FALSE)), "")</f>
        <v>FlowArt: Dot-By-Letter, Winter's Glow [Metallic ink]</v>
      </c>
      <c r="E106" s="6">
        <v>8</v>
      </c>
      <c r="F106" s="8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 s="6" customFormat="1">
      <c r="A107" s="6" t="s">
        <v>59</v>
      </c>
      <c r="B107" s="6">
        <f t="shared" si="1"/>
        <v>4</v>
      </c>
      <c r="C107" s="7" t="s">
        <v>63</v>
      </c>
      <c r="D107" s="6" t="str">
        <f>IFERROR(IFERROR(VLOOKUP($C107, [1]SBOM!$F:$G, 2, FALSE), VLOOKUP(VALUE($C107), [1]SBOM!$F:$G, 2, FALSE)), "")</f>
        <v>FlowArt: Color-To-Reveal, Snowy Village [Scented]</v>
      </c>
      <c r="E107" s="6">
        <v>4</v>
      </c>
      <c r="F107" s="8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6.5</v>
      </c>
    </row>
    <row r="108" spans="1:6" s="6" customFormat="1">
      <c r="A108" s="6" t="s">
        <v>59</v>
      </c>
      <c r="B108" s="6">
        <f t="shared" si="1"/>
        <v>5</v>
      </c>
      <c r="C108" s="7" t="s">
        <v>64</v>
      </c>
      <c r="D108" s="6" t="str">
        <f>IFERROR(IFERROR(VLOOKUP($C108, [1]SBOM!$F:$G, 2, FALSE), VLOOKUP(VALUE($C108), [1]SBOM!$F:$G, 2, FALSE)), "")</f>
        <v>FlowArt: Trace-by-Line, Gingerbread Delight</v>
      </c>
      <c r="E108" s="6">
        <v>4</v>
      </c>
      <c r="F108" s="8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6.5</v>
      </c>
    </row>
    <row r="109" spans="1:6" s="6" customFormat="1">
      <c r="A109" s="6" t="s">
        <v>60</v>
      </c>
      <c r="B109" s="6">
        <f t="shared" si="1"/>
        <v>1</v>
      </c>
      <c r="C109" s="7" t="s">
        <v>39</v>
      </c>
      <c r="D109" s="6" t="str">
        <f>IFERROR(IFERROR(VLOOKUP($C109, [1]SBOM!$F:$G, 2, FALSE), VLOOKUP(VALUE($C109), [1]SBOM!$F:$G, 2, FALSE)), "")</f>
        <v>Pen Diffuser with Essential Oil Blends - In Bloom</v>
      </c>
      <c r="E109" s="6">
        <v>6</v>
      </c>
      <c r="F109" s="8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6.5</v>
      </c>
    </row>
    <row r="110" spans="1:6" s="6" customFormat="1">
      <c r="A110" s="6" t="s">
        <v>60</v>
      </c>
      <c r="B110" s="6">
        <f t="shared" si="1"/>
        <v>2</v>
      </c>
      <c r="C110" s="7" t="s">
        <v>49</v>
      </c>
      <c r="D110" s="6" t="str">
        <f>IFERROR(IFERROR(VLOOKUP($C110, [1]SBOM!$F:$G, 2, FALSE), VLOOKUP(VALUE($C110), [1]SBOM!$F:$G, 2, FALSE)), "")</f>
        <v>Pen Diffuser with Essential Oil Blend- Crisp Mountain Air</v>
      </c>
      <c r="E110" s="6">
        <v>6</v>
      </c>
      <c r="F110" s="8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6.5</v>
      </c>
    </row>
    <row r="111" spans="1:6" s="6" customFormat="1">
      <c r="A111" s="6" t="s">
        <v>60</v>
      </c>
      <c r="B111" s="6">
        <f t="shared" si="1"/>
        <v>3</v>
      </c>
      <c r="C111" s="7" t="s">
        <v>44</v>
      </c>
      <c r="D111" s="6" t="str">
        <f>IFERROR(IFERROR(VLOOKUP($C111, [1]SBOM!$F:$G, 2, FALSE), VLOOKUP(VALUE($C111), [1]SBOM!$F:$G, 2, FALSE)), "")</f>
        <v>Pen Diffuser with Essential Oil Blends -  Spiced Chai Latte</v>
      </c>
      <c r="E111" s="6">
        <v>8</v>
      </c>
      <c r="F111" s="8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6.5</v>
      </c>
    </row>
    <row r="112" spans="1:6" s="6" customFormat="1">
      <c r="A112" s="6" t="s">
        <v>60</v>
      </c>
      <c r="B112" s="6">
        <f t="shared" si="1"/>
        <v>4</v>
      </c>
      <c r="C112" s="7" t="s">
        <v>46</v>
      </c>
      <c r="D112" s="6" t="str">
        <f>IFERROR(IFERROR(VLOOKUP($C112, [1]SBOM!$F:$G, 2, FALSE), VLOOKUP(VALUE($C112), [1]SBOM!$F:$G, 2, FALSE)), "")</f>
        <v>Pen Diffuser with Essential Oil Blends -  Strawberry Milkshake</v>
      </c>
      <c r="E112" s="6">
        <v>8</v>
      </c>
      <c r="F112" s="8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6.5</v>
      </c>
    </row>
    <row r="113" spans="1:6" s="6" customFormat="1">
      <c r="A113" s="6" t="s">
        <v>60</v>
      </c>
      <c r="B113" s="6">
        <f t="shared" si="1"/>
        <v>5</v>
      </c>
      <c r="C113" s="7" t="s">
        <v>50</v>
      </c>
      <c r="D113" s="6" t="str">
        <f>IFERROR(IFERROR(VLOOKUP($C113, [1]SBOM!$F:$G, 2, FALSE), VLOOKUP(VALUE($C113), [1]SBOM!$F:$G, 2, FALSE)), "")</f>
        <v>Pen Diffuser with Essential Oil Blends -  Cotton Candy</v>
      </c>
      <c r="E113" s="6">
        <v>4</v>
      </c>
      <c r="F113" s="8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6.5</v>
      </c>
    </row>
    <row r="114" spans="1:6" s="6" customFormat="1">
      <c r="A114" s="6" t="s">
        <v>60</v>
      </c>
      <c r="B114" s="6">
        <f t="shared" si="1"/>
        <v>6</v>
      </c>
      <c r="C114" s="7" t="s">
        <v>73</v>
      </c>
      <c r="D114" s="6" t="str">
        <f>IFERROR(IFERROR(VLOOKUP($C114, [1]SBOM!$F:$G, 2, FALSE), VLOOKUP(VALUE($C114), [1]SBOM!$F:$G, 2, FALSE)), "")</f>
        <v xml:space="preserve">Universal Tabletop Display - Empty </v>
      </c>
      <c r="E114" s="6">
        <v>1</v>
      </c>
      <c r="F114" s="8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0</v>
      </c>
    </row>
    <row r="115" spans="1:6" s="6" customFormat="1">
      <c r="A115" s="6" t="s">
        <v>14</v>
      </c>
      <c r="B115" s="6">
        <f t="shared" si="1"/>
        <v>1</v>
      </c>
      <c r="C115" s="7" t="s">
        <v>8</v>
      </c>
      <c r="D115" s="6" t="str">
        <f>IFERROR(IFERROR(VLOOKUP($C115, [1]SBOM!$F:$G, 2, FALSE), VLOOKUP(VALUE($C115), [1]SBOM!$F:$G, 2, FALSE)), "")</f>
        <v>FlowArt: Mini Single - Pocket Positivity</v>
      </c>
      <c r="E115" s="6">
        <v>6</v>
      </c>
      <c r="F115" s="8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3.5</v>
      </c>
    </row>
    <row r="116" spans="1:6" s="6" customFormat="1">
      <c r="A116" s="6" t="s">
        <v>14</v>
      </c>
      <c r="B116" s="6">
        <f t="shared" si="1"/>
        <v>2</v>
      </c>
      <c r="C116" s="7" t="s">
        <v>9</v>
      </c>
      <c r="D116" s="6" t="str">
        <f>IFERROR(IFERROR(VLOOKUP($C116, [1]SBOM!$F:$G, 2, FALSE), VLOOKUP(VALUE($C116), [1]SBOM!$F:$G, 2, FALSE)), "")</f>
        <v>FlowArt: Mini Single - Café Comforts</v>
      </c>
      <c r="E116" s="6">
        <v>6</v>
      </c>
      <c r="F116" s="8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3.5</v>
      </c>
    </row>
    <row r="117" spans="1:6" s="6" customFormat="1">
      <c r="A117" s="6" t="s">
        <v>14</v>
      </c>
      <c r="B117" s="6">
        <f t="shared" si="1"/>
        <v>3</v>
      </c>
      <c r="C117" s="7" t="s">
        <v>10</v>
      </c>
      <c r="D117" s="6" t="str">
        <f>IFERROR(IFERROR(VLOOKUP($C117, [1]SBOM!$F:$G, 2, FALSE), VLOOKUP(VALUE($C117), [1]SBOM!$F:$G, 2, FALSE)), "")</f>
        <v>FlowArt: Mini Single - Enchanted Magic</v>
      </c>
      <c r="E117" s="6">
        <v>6</v>
      </c>
      <c r="F117" s="8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3.5</v>
      </c>
    </row>
    <row r="118" spans="1:6" s="6" customFormat="1">
      <c r="A118" s="6" t="s">
        <v>14</v>
      </c>
      <c r="B118" s="6">
        <f t="shared" si="1"/>
        <v>4</v>
      </c>
      <c r="C118" s="7" t="s">
        <v>12</v>
      </c>
      <c r="D118" s="6" t="str">
        <f>IFERROR(IFERROR(VLOOKUP($C118, [1]SBOM!$F:$G, 2, FALSE), VLOOKUP(VALUE($C118), [1]SBOM!$F:$G, 2, FALSE)), "")</f>
        <v>FlowArt: Mini Single - Nature's Wonders</v>
      </c>
      <c r="E118" s="6">
        <v>12</v>
      </c>
      <c r="F118" s="8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3.5</v>
      </c>
    </row>
    <row r="119" spans="1:6" s="6" customFormat="1">
      <c r="A119" s="6" t="s">
        <v>14</v>
      </c>
      <c r="B119" s="6">
        <f t="shared" si="1"/>
        <v>5</v>
      </c>
      <c r="C119" s="7" t="s">
        <v>11</v>
      </c>
      <c r="D119" s="6" t="str">
        <f>IFERROR(IFERROR(VLOOKUP($C119, [1]SBOM!$F:$G, 2, FALSE), VLOOKUP(VALUE($C119), [1]SBOM!$F:$G, 2, FALSE)), "")</f>
        <v>FlowArt: Mini Single - Pretty Petals</v>
      </c>
      <c r="E119" s="6">
        <v>12</v>
      </c>
      <c r="F119" s="8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3.5</v>
      </c>
    </row>
    <row r="120" spans="1:6" s="6" customFormat="1">
      <c r="A120" s="6" t="s">
        <v>14</v>
      </c>
      <c r="B120" s="6">
        <f t="shared" si="1"/>
        <v>6</v>
      </c>
      <c r="C120" s="7" t="s">
        <v>13</v>
      </c>
      <c r="D120" s="6" t="str">
        <f>IFERROR(IFERROR(VLOOKUP($C120, [1]SBOM!$F:$G, 2, FALSE), VLOOKUP(VALUE($C120), [1]SBOM!$F:$G, 2, FALSE)), "")</f>
        <v>FlowArt: Mini Single - Furry Friends</v>
      </c>
      <c r="E120" s="6">
        <v>12</v>
      </c>
      <c r="F120" s="8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3.5</v>
      </c>
    </row>
    <row r="121" spans="1:6" s="6" customFormat="1">
      <c r="A121" s="6" t="s">
        <v>80</v>
      </c>
      <c r="B121" s="6">
        <f t="shared" si="1"/>
        <v>1</v>
      </c>
      <c r="C121" s="7" t="s">
        <v>9</v>
      </c>
      <c r="D121" s="6" t="str">
        <f>IFERROR(IFERROR(VLOOKUP($C121, [1]SBOM!$F:$G, 2, FALSE), VLOOKUP(VALUE($C121), [1]SBOM!$F:$G, 2, FALSE)), "")</f>
        <v>FlowArt: Mini Single - Café Comforts</v>
      </c>
      <c r="E121" s="6">
        <v>6</v>
      </c>
      <c r="F121" s="8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3.5</v>
      </c>
    </row>
    <row r="122" spans="1:6" s="6" customFormat="1">
      <c r="A122" s="6" t="s">
        <v>80</v>
      </c>
      <c r="B122" s="6">
        <f t="shared" si="1"/>
        <v>2</v>
      </c>
      <c r="C122" s="7" t="s">
        <v>32</v>
      </c>
      <c r="D122" s="6" t="str">
        <f>IFERROR(IFERROR(VLOOKUP($C122, [1]SBOM!$F:$G, 2, FALSE), VLOOKUP(VALUE($C122), [1]SBOM!$F:$G, 2, FALSE)), "")</f>
        <v>FlowArt: Dot-By-Letter, Into the Galaxy [Metallic ink]</v>
      </c>
      <c r="E122" s="6">
        <v>4</v>
      </c>
      <c r="F122" s="8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6.5</v>
      </c>
    </row>
    <row r="123" spans="1:6" s="6" customFormat="1">
      <c r="A123" s="6" t="s">
        <v>80</v>
      </c>
      <c r="B123" s="6">
        <f t="shared" si="1"/>
        <v>3</v>
      </c>
      <c r="C123" s="7" t="s">
        <v>19</v>
      </c>
      <c r="D123" s="6" t="str">
        <f>IFERROR(IFERROR(VLOOKUP($C123, [1]SBOM!$F:$G, 2, FALSE), VLOOKUP(VALUE($C123), [1]SBOM!$F:$G, 2, FALSE)), "")</f>
        <v>FlowArt: Dot-By-Letter, Cozy Cottage</v>
      </c>
      <c r="E123" s="6">
        <v>4</v>
      </c>
      <c r="F123" s="8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6.5</v>
      </c>
    </row>
    <row r="124" spans="1:6" s="6" customFormat="1">
      <c r="A124" s="6" t="s">
        <v>80</v>
      </c>
      <c r="B124" s="6">
        <f t="shared" si="1"/>
        <v>4</v>
      </c>
      <c r="C124" s="7" t="s">
        <v>52</v>
      </c>
      <c r="D124" s="6" t="str">
        <f>IFERROR(IFERROR(VLOOKUP($C124, [1]SBOM!$F:$G, 2, FALSE), VLOOKUP(VALUE($C124), [1]SBOM!$F:$G, 2, FALSE)), "")</f>
        <v>FlowArt: Dot-By-Letter, Wags &amp; Whiskers</v>
      </c>
      <c r="E124" s="6">
        <v>4</v>
      </c>
      <c r="F124" s="8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6.5</v>
      </c>
    </row>
    <row r="125" spans="1:6">
      <c r="A125" t="s">
        <v>80</v>
      </c>
      <c r="C125" s="1" t="s">
        <v>79</v>
      </c>
      <c r="D125" s="6" t="str">
        <f>IFERROR(IFERROR(VLOOKUP($C125, [1]SBOM!$F:$G, 2, FALSE), VLOOKUP(VALUE($C125), [1]SBOM!$F:$G, 2, FALSE)), "")</f>
        <v>FlowArt: Color-to-Reveal, Animals</v>
      </c>
      <c r="E125" s="6">
        <v>4</v>
      </c>
      <c r="F125" s="8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80</v>
      </c>
      <c r="C126" s="1" t="s">
        <v>33</v>
      </c>
      <c r="D126" s="6" t="str">
        <f>IFERROR(IFERROR(VLOOKUP($C126, [1]SBOM!$F:$G, 2, FALSE), VLOOKUP(VALUE($C126), [1]SBOM!$F:$G, 2, FALSE)), "")</f>
        <v>FlowArt: Dot-By-Letter, Into the Deep [Metallic ink]</v>
      </c>
      <c r="E126" s="6">
        <v>4</v>
      </c>
      <c r="F126" s="8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80</v>
      </c>
      <c r="C127" s="1" t="s">
        <v>25</v>
      </c>
      <c r="D127" s="6" t="str">
        <f>IFERROR(IFERROR(VLOOKUP($C127, [1]SBOM!$F:$G, 2, FALSE), VLOOKUP(VALUE($C127), [1]SBOM!$F:$G, 2, FALSE)), "")</f>
        <v>FlowArt: Dot-By-Letter, Pumpkins &amp; Pastures</v>
      </c>
      <c r="E127" s="6">
        <v>4</v>
      </c>
      <c r="F127" s="8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80</v>
      </c>
      <c r="C128" s="1" t="s">
        <v>27</v>
      </c>
      <c r="D128" s="6" t="str">
        <f>IFERROR(IFERROR(VLOOKUP($C128, [1]SBOM!$F:$G, 2, FALSE), VLOOKUP(VALUE($C128), [1]SBOM!$F:$G, 2, FALSE)), "")</f>
        <v>FlowArt: Dot-By-Letter, Sweater Weather [2026]</v>
      </c>
      <c r="E128" s="6">
        <v>4</v>
      </c>
      <c r="F128" s="8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80</v>
      </c>
      <c r="C129" s="1" t="s">
        <v>75</v>
      </c>
      <c r="D129" s="6" t="str">
        <f>IFERROR(IFERROR(VLOOKUP($C129, [1]SBOM!$F:$G, 2, FALSE), VLOOKUP(VALUE($C129), [1]SBOM!$F:$G, 2, FALSE)), "")</f>
        <v>FlowArt: Dot-By-Letter, Majestic Earth [Metallic ink]</v>
      </c>
      <c r="E129" s="6">
        <v>4</v>
      </c>
      <c r="F129" s="8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80</v>
      </c>
      <c r="C130" s="1" t="s">
        <v>13</v>
      </c>
      <c r="D130" s="6" t="str">
        <f>IFERROR(IFERROR(VLOOKUP($C130, [1]SBOM!$F:$G, 2, FALSE), VLOOKUP(VALUE($C130), [1]SBOM!$F:$G, 2, FALSE)), "")</f>
        <v>FlowArt: Mini Single - Furry Friends</v>
      </c>
      <c r="E130" s="6">
        <v>6</v>
      </c>
      <c r="F130" s="8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3.5</v>
      </c>
    </row>
    <row r="131" spans="1:6">
      <c r="A131" t="s">
        <v>80</v>
      </c>
      <c r="C131" s="1" t="s">
        <v>62</v>
      </c>
      <c r="D131" s="6" t="str">
        <f>IFERROR(IFERROR(VLOOKUP($C131, [1]SBOM!$F:$G, 2, FALSE), VLOOKUP(VALUE($C131), [1]SBOM!$F:$G, 2, FALSE)), "")</f>
        <v>FlowArt: Color-to-Reveal, Fall is in the Air [Scented]</v>
      </c>
      <c r="E131" s="6">
        <v>4</v>
      </c>
      <c r="F131" s="8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80</v>
      </c>
      <c r="C132" s="1" t="s">
        <v>10</v>
      </c>
      <c r="D132" s="6" t="str">
        <f>IFERROR(IFERROR(VLOOKUP($C132, [1]SBOM!$F:$G, 2, FALSE), VLOOKUP(VALUE($C132), [1]SBOM!$F:$G, 2, FALSE)), "")</f>
        <v>FlowArt: Mini Single - Enchanted Magic</v>
      </c>
      <c r="E132" s="6">
        <v>6</v>
      </c>
      <c r="F132" s="8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3.5</v>
      </c>
    </row>
    <row r="133" spans="1:6">
      <c r="A133" t="s">
        <v>80</v>
      </c>
      <c r="C133" s="1" t="s">
        <v>74</v>
      </c>
      <c r="D133" s="6" t="str">
        <f>IFERROR(IFERROR(VLOOKUP($C133, [1]SBOM!$F:$G, 2, FALSE), VLOOKUP(VALUE($C133), [1]SBOM!$F:$G, 2, FALSE)), "")</f>
        <v>FlowArt: Dot-By-Letter, Moonlit Garden [Metallic ink]</v>
      </c>
      <c r="E133" s="6">
        <v>4</v>
      </c>
      <c r="F133" s="8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80</v>
      </c>
      <c r="C134" s="1" t="s">
        <v>12</v>
      </c>
      <c r="D134" s="6" t="str">
        <f>IFERROR(IFERROR(VLOOKUP($C134, [1]SBOM!$F:$G, 2, FALSE), VLOOKUP(VALUE($C134), [1]SBOM!$F:$G, 2, FALSE)), "")</f>
        <v>FlowArt: Mini Single - Nature's Wonders</v>
      </c>
      <c r="E134" s="6">
        <v>12</v>
      </c>
      <c r="F134" s="8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3.5</v>
      </c>
    </row>
    <row r="135" spans="1:6">
      <c r="A135" t="s">
        <v>80</v>
      </c>
      <c r="C135" s="1" t="s">
        <v>11</v>
      </c>
      <c r="D135" s="6" t="str">
        <f>IFERROR(IFERROR(VLOOKUP($C135, [1]SBOM!$F:$G, 2, FALSE), VLOOKUP(VALUE($C135), [1]SBOM!$F:$G, 2, FALSE)), "")</f>
        <v>FlowArt: Mini Single - Pretty Petals</v>
      </c>
      <c r="E135" s="6">
        <v>12</v>
      </c>
      <c r="F135" s="8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3.5</v>
      </c>
    </row>
    <row r="136" spans="1:6">
      <c r="A136" t="s">
        <v>80</v>
      </c>
      <c r="C136" s="1" t="s">
        <v>76</v>
      </c>
      <c r="D136" s="6" t="str">
        <f>IFERROR(IFERROR(VLOOKUP($C136, [1]SBOM!$F:$G, 2, FALSE), VLOOKUP(VALUE($C136), [1]SBOM!$F:$G, 2, FALSE)), "")</f>
        <v>FlowArt: Dot-By-Letter, Everyday Inspiration</v>
      </c>
      <c r="E136" s="6">
        <v>4</v>
      </c>
      <c r="F136" s="8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80</v>
      </c>
      <c r="C137" s="1" t="s">
        <v>8</v>
      </c>
      <c r="D137" s="6" t="str">
        <f>IFERROR(IFERROR(VLOOKUP($C137, [1]SBOM!$F:$G, 2, FALSE), VLOOKUP(VALUE($C137), [1]SBOM!$F:$G, 2, FALSE)), "")</f>
        <v>FlowArt: Mini Single - Pocket Positivity</v>
      </c>
      <c r="E137" s="6">
        <v>6</v>
      </c>
      <c r="F137" s="8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3.5</v>
      </c>
    </row>
    <row r="138" spans="1:6">
      <c r="A138" t="s">
        <v>80</v>
      </c>
      <c r="C138" s="1" t="s">
        <v>54</v>
      </c>
      <c r="D138" s="6" t="str">
        <f>IFERROR(IFERROR(VLOOKUP($C138, [1]SBOM!$F:$G, 2, FALSE), VLOOKUP(VALUE($C138), [1]SBOM!$F:$G, 2, FALSE)), "")</f>
        <v>FlowArt: Color-to-Reveal, Citrus Coastlines</v>
      </c>
      <c r="E138" s="6">
        <v>4</v>
      </c>
      <c r="F138" s="8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80</v>
      </c>
      <c r="C139" s="1" t="s">
        <v>55</v>
      </c>
      <c r="D139" s="6" t="str">
        <f>IFERROR(IFERROR(VLOOKUP($C139, [1]SBOM!$F:$G, 2, FALSE), VLOOKUP(VALUE($C139), [1]SBOM!$F:$G, 2, FALSE)), "")</f>
        <v>FlowArt: Trace-By-Line, Brunch in Bloom</v>
      </c>
      <c r="E139" s="6">
        <v>4</v>
      </c>
      <c r="F139" s="8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66</v>
      </c>
      <c r="C140" s="1" t="s">
        <v>19</v>
      </c>
      <c r="D140" s="6" t="str">
        <f>IFERROR(IFERROR(VLOOKUP($C140, [1]SBOM!$F:$G, 2, FALSE), VLOOKUP(VALUE($C140), [1]SBOM!$F:$G, 2, FALSE)), "")</f>
        <v>FlowArt: Dot-By-Letter, Cozy Cottage</v>
      </c>
      <c r="E140" s="6">
        <v>1</v>
      </c>
      <c r="F140" s="8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66</v>
      </c>
      <c r="C141" s="1" t="s">
        <v>77</v>
      </c>
      <c r="D141" s="6" t="str">
        <f>IFERROR(IFERROR(VLOOKUP($C141, [1]SBOM!$F:$G, 2, FALSE), VLOOKUP(VALUE($C141), [1]SBOM!$F:$G, 2, FALSE)), "")</f>
        <v>FlowArt: Dot-By-Letter, Botanicals</v>
      </c>
      <c r="E141" s="6">
        <v>1</v>
      </c>
      <c r="F141" s="8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66</v>
      </c>
      <c r="C142" s="1" t="s">
        <v>32</v>
      </c>
      <c r="D142" s="6" t="str">
        <f>IFERROR(IFERROR(VLOOKUP($C142, [1]SBOM!$F:$G, 2, FALSE), VLOOKUP(VALUE($C142), [1]SBOM!$F:$G, 2, FALSE)), "")</f>
        <v>FlowArt: Dot-By-Letter, Into the Galaxy [Metallic ink]</v>
      </c>
      <c r="E142" s="6">
        <v>1</v>
      </c>
      <c r="F142" s="8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</sheetData>
  <autoFilter ref="A4:F124" xr:uid="{00000000-0001-0000-0000-000000000000}"/>
  <mergeCells count="2">
    <mergeCell ref="A1:F1"/>
    <mergeCell ref="A2:F2"/>
  </mergeCells>
  <conditionalFormatting sqref="A5:XFD124">
    <cfRule type="expression" dxfId="2" priority="2">
      <formula>IF($A5&lt;&gt;$A6, TRUE, FALSE)</formula>
    </cfRule>
  </conditionalFormatting>
  <conditionalFormatting sqref="D125:F142">
    <cfRule type="expression" dxfId="0" priority="1">
      <formula>IF($A125&lt;&gt;$A126,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2026-09-08T15:57:52Z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